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693640b78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a8b5816fcc34914"/>
    <x:sheet xmlns:r="http://schemas.openxmlformats.org/officeDocument/2006/relationships" name="Eligible Data" sheetId="2" r:id="Re17067a735cb45aa"/>
    <x:sheet xmlns:r="http://schemas.openxmlformats.org/officeDocument/2006/relationships" name="Eligibility Audit" sheetId="3" r:id="Re502a1cb4669402b"/>
    <x:sheet xmlns:r="http://schemas.openxmlformats.org/officeDocument/2006/relationships" name="Codebook" sheetId="4" r:id="R37d1c8c9919a4b3c"/>
    <x:sheet xmlns:r="http://schemas.openxmlformats.org/officeDocument/2006/relationships" name="Profile Tables" sheetId="5" r:id="Rc5e8324e886b4928"/>
    <x:sheet xmlns:r="http://schemas.openxmlformats.org/officeDocument/2006/relationships" name="Construct Summary" sheetId="6" r:id="R552dad2fd1fd4ac6"/>
    <x:sheet xmlns:r="http://schemas.openxmlformats.org/officeDocument/2006/relationships" name="Item Summary" sheetId="7" r:id="Rb7fa98ba549c44a2"/>
    <x:sheet xmlns:r="http://schemas.openxmlformats.org/officeDocument/2006/relationships" name="Item Frequencies" sheetId="8" r:id="R2e23488a6dd9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%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8">
    <x:border/>
    <x:border>
      <x:left style="thin">
        <x:color rgb="FFB4C7E7"/>
      </x:left>
      <x:right style="thin">
        <x:color rgb="FFB4C7E7"/>
      </x:right>
      <x:top style="thin">
        <x:color rgb="FFB4C7E7"/>
      </x:top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 wrapText="0"/>
    </x:xf>
    <x:xf numFmtId="0" fontId="3" fillId="2" borderId="6" xfId="0" applyNumberFormat="1" applyFont="1" applyFill="1" applyBorder="1" applyAlignment="1">
      <x:alignment horizontal="center" vertical="center" wrapText="0"/>
    </x:xf>
    <x:xf numFmtId="0" fontId="3" fillId="2" borderId="7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2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6103d597c49f0" /><Relationship Type="http://schemas.openxmlformats.org/officeDocument/2006/relationships/theme" Target="/xl/theme/theme1.xml" Id="R43c0eb11b7bb43b4" /><Relationship Type="http://schemas.openxmlformats.org/officeDocument/2006/relationships/sharedStrings" Target="/xl/sharedStrings.xml" Id="R80eee8dd76344398" /><Relationship Type="http://schemas.openxmlformats.org/officeDocument/2006/relationships/worksheet" Target="/xl/worksheets/sheet1.xml" Id="Rda8b5816fcc34914" /><Relationship Type="http://schemas.openxmlformats.org/officeDocument/2006/relationships/worksheet" Target="/xl/worksheets/sheet2.xml" Id="Re17067a735cb45aa" /><Relationship Type="http://schemas.openxmlformats.org/officeDocument/2006/relationships/worksheet" Target="/xl/worksheets/sheet3.xml" Id="Re502a1cb4669402b" /><Relationship Type="http://schemas.openxmlformats.org/officeDocument/2006/relationships/worksheet" Target="/xl/worksheets/sheet4.xml" Id="R37d1c8c9919a4b3c" /><Relationship Type="http://schemas.openxmlformats.org/officeDocument/2006/relationships/worksheet" Target="/xl/worksheets/sheet5.xml" Id="Rc5e8324e886b4928" /><Relationship Type="http://schemas.openxmlformats.org/officeDocument/2006/relationships/worksheet" Target="/xl/worksheets/sheet6.xml" Id="R552dad2fd1fd4ac6" /><Relationship Type="http://schemas.openxmlformats.org/officeDocument/2006/relationships/worksheet" Target="/xl/worksheets/sheet7.xml" Id="Rb7fa98ba549c44a2" /><Relationship Type="http://schemas.openxmlformats.org/officeDocument/2006/relationships/worksheet" Target="/xl/worksheets/sheet8.xml" Id="R2e23488a6dd94f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a619cd92904424" /><Relationship Type="http://schemas.openxmlformats.org/officeDocument/2006/relationships/chart" Target="/xl/drawings/charts/chart2.xml" Id="R23d8e3cb8dd344f8" /><Relationship Type="http://schemas.openxmlformats.org/officeDocument/2006/relationships/chart" Target="/xl/drawings/charts/chart3.xml" Id="Rbf9025f6c89748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Age 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'Profile Tables'!$A$4:$A$7</c:f>
              <c:strCache>
                <c:ptCount val="0"/>
              </c:strCache>
            </c:strRef>
          </c:cat>
          <c:val>
            <c:numRef>
              <c:f>'Profile Tables'!$B$4:$B$7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Respondents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Length of Service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'Profile Tables'!$F$4:$F$7</c:f>
              <c:strCache>
                <c:ptCount val="0"/>
              </c:strCache>
            </c:strRef>
          </c:cat>
          <c:val>
            <c:numRef>
              <c:f>'Profile Tables'!$G$4:$G$7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Respondents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Job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'Profile Tables'!$K$4:$K$6</c:f>
              <c:strCache>
                <c:ptCount val="0"/>
              </c:strCache>
            </c:strRef>
          </c:cat>
          <c:val>
            <c:numRef>
              <c:f>'Profile Tables'!$L$4:$L$6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Respondents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a619cd92904424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d8e3cb8dd344f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9025f6c89748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ligibleDataTable" displayName="EligibleDataTable" ref="A1:AK106" headerRowCount="1" totalsRowCount="0" totalsRowShown="0">
  <x:tableColumns count="37">
    <x:tableColumn id="1" name="Response ID"/>
    <x:tableColumn id="2" name="Source"/>
    <x:tableColumn id="3" name="Age group"/>
    <x:tableColumn id="4" name="Service length"/>
    <x:tableColumn id="5" name="Job level"/>
    <x:tableColumn id="6" name="Imputation count"/>
    <x:tableColumn id="7" name="Flag count"/>
    <x:tableColumn id="8" name="HL1"/>
    <x:tableColumn id="9" name="HL2"/>
    <x:tableColumn id="10" name="HL3"/>
    <x:tableColumn id="11" name="HL4"/>
    <x:tableColumn id="12" name="HL5"/>
    <x:tableColumn id="13" name="HL6"/>
    <x:tableColumn id="14" name="HL7"/>
    <x:tableColumn id="15" name="TC1"/>
    <x:tableColumn id="16" name="TC2"/>
    <x:tableColumn id="17" name="TC3"/>
    <x:tableColumn id="18" name="TC4"/>
    <x:tableColumn id="19" name="TC5"/>
    <x:tableColumn id="20" name="TC6"/>
    <x:tableColumn id="21" name="LE1"/>
    <x:tableColumn id="22" name="LE2"/>
    <x:tableColumn id="23" name="LE3"/>
    <x:tableColumn id="24" name="LE4"/>
    <x:tableColumn id="25" name="LE5"/>
    <x:tableColumn id="26" name="LE6"/>
    <x:tableColumn id="27" name="TE1"/>
    <x:tableColumn id="28" name="TE2"/>
    <x:tableColumn id="29" name="TE3"/>
    <x:tableColumn id="30" name="TE4"/>
    <x:tableColumn id="31" name="TE5"/>
    <x:tableColumn id="32" name="TE6"/>
    <x:tableColumn id="33" name="TE7"/>
    <x:tableColumn id="34" name="Hybrid Learning"/>
    <x:tableColumn id="35" name="Trainer Competence"/>
    <x:tableColumn id="36" name="Learner Engagement"/>
    <x:tableColumn id="37" name="Training Effective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gibilityAuditTable" displayName="EligibilityAuditTable" ref="A1:K133" headerRowCount="1" totalsRowCount="0" totalsRowShown="0">
  <x:tableColumns count="11">
    <x:tableColumn id="1" name="response_id"/>
    <x:tableColumn id="2" name="source"/>
    <x:tableColumn id="3" name="source_reference"/>
    <x:tableColumn id="4" name="eligibility"/>
    <x:tableColumn id="5" name="data_status"/>
    <x:tableColumn id="6" name="included_in_final_analysis"/>
    <x:tableColumn id="7" name="exclusion_reason"/>
    <x:tableColumn id="8" name="flag_count"/>
    <x:tableColumn id="9" name="flags"/>
    <x:tableColumn id="10" name="imputation_count"/>
    <x:tableColumn id="11" name="imputation_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ceb722ada4f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898fe103874e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34c39afcc554c4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84" hidden="0" customWidth="1"/>
  </x:cols>
  <x:sheetData>
    <x:row r="1" ht="50.400001525878906" hidden="0" customHeight="1">
      <x:c r="A1" s="22" t="str">
        <x:v>Hybrid Learning and Training Effectiveness at Union Bank of India</x:v>
      </x:c>
      <x:c r="B1" s="23"/>
    </x:row>
    <x:row r="2" ht="24" hidden="0" customHeight="1">
      <x:c r="A2" s="24" t="str">
        <x:v>Descriptive analysis workbook for the final 105 eligible response records</x:v>
      </x:c>
      <x:c r="B2" s="23"/>
    </x:row>
    <x:row r="3" ht="15" hidden="0" customHeight="1">
      <x:c r="A3" s="23"/>
      <x:c r="B3" s="23"/>
    </x:row>
    <x:row r="4" ht="15" hidden="0" customHeight="1">
      <x:c r="A4" s="19" t="str">
        <x:v>Dataset</x:v>
      </x:c>
      <x:c r="B4" s="25" t="str">
        <x:v>105 eligible anonymous response records</x:v>
      </x:c>
    </x:row>
    <x:row r="5" ht="15" hidden="0" customHeight="1">
      <x:c r="A5" s="19" t="str">
        <x:v>Collection modes</x:v>
      </x:c>
      <x:c r="B5" s="25" t="str">
        <x:v>56 printed questionnaire records; 49 Google Forms records</x:v>
      </x:c>
    </x:row>
    <x:row r="6" ht="15" hidden="0" customHeight="1">
      <x:c r="A6" s="19" t="str">
        <x:v>Scale</x:v>
      </x:c>
      <x:c r="B6" s="25" t="str">
        <x:v>1 = Strongly Disagree to 5 = Strongly Agree</x:v>
      </x:c>
    </x:row>
    <x:row r="7" ht="15" hidden="0" customHeight="1">
      <x:c r="A7" s="19" t="str">
        <x:v>Scoring</x:v>
      </x:c>
      <x:c r="B7" s="25" t="str">
        <x:v>Arithmetic mean for each of the four constructs</x:v>
      </x:c>
    </x:row>
    <x:row r="8" ht="15" hidden="0" customHeight="1">
      <x:c r="A8" s="19" t="str">
        <x:v>Processing note</x:v>
      </x:c>
      <x:c r="B8" s="25" t="str">
        <x:v>Two approved item replacements are retained; profile blanks remain missing</x:v>
      </x:c>
    </x:row>
    <x:row r="9" ht="15" hidden="0" customHeight="1">
      <x:c r="A9" s="23"/>
      <x:c r="B9" s="23"/>
    </x:row>
    <x:row r="10" ht="15" hidden="0" customHeight="1">
      <x:c r="A10" s="26" t="str">
        <x:v>Workbook tabs</x:v>
      </x:c>
      <x:c r="B10" s="23"/>
    </x:row>
    <x:row r="11" ht="15" hidden="0" customHeight="1">
      <x:c r="A11" s="19" t="str">
        <x:v>Eligible Data</x:v>
      </x:c>
      <x:c r="B11" s="25" t="str">
        <x:v>105 retained records, 26 item values, and formula-driven construct scores.</x:v>
      </x:c>
    </x:row>
    <x:row r="12" ht="15" hidden="0" customHeight="1">
      <x:c r="A12" s="19" t="str">
        <x:v>Eligibility Audit</x:v>
      </x:c>
      <x:c r="B12" s="25" t="str">
        <x:v>All 132 submitted records and their screening outcome.</x:v>
      </x:c>
    </x:row>
    <x:row r="13" ht="15" hidden="0" customHeight="1">
      <x:c r="A13" s="19" t="str">
        <x:v>Codebook</x:v>
      </x:c>
      <x:c r="B13" s="25" t="str">
        <x:v>Variable labels, item definitions, and scoring rules.</x:v>
      </x:c>
    </x:row>
    <x:row r="14" ht="15" hidden="0" customHeight="1">
      <x:c r="A14" s="19" t="str">
        <x:v>SPSS file</x:v>
      </x:c>
      <x:c r="B14" s="25" t="str">
        <x:v>Use final-analysis-spss-syntax.sps with final-analysis-data.csv.</x:v>
      </x:c>
    </x:row>
    <x:row r="15" ht="15" hidden="0" customHeight="1">
      <x:c r="A15" s="23"/>
      <x:c r="B15" s="23"/>
    </x:row>
    <x:row r="16" ht="36" hidden="0" customHeight="1">
      <x:c r="A16" s="24" t="str">
        <x:v>This workbook presents descriptive results only. Reliability, correlations, regressions, and hypothesis decisions are not included.</x:v>
      </x:c>
      <x:c r="B16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13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41" t="str">
        <x:v>Response ID</x:v>
      </x:c>
      <x:c r="B1" s="42" t="str">
        <x:v>Source</x:v>
      </x:c>
      <x:c r="C1" s="42" t="str">
        <x:v>Age group</x:v>
      </x:c>
      <x:c r="D1" s="42" t="str">
        <x:v>Service length</x:v>
      </x:c>
      <x:c r="E1" s="42" t="str">
        <x:v>Job level</x:v>
      </x:c>
      <x:c r="F1" s="42" t="str">
        <x:v>Imputation count</x:v>
      </x:c>
      <x:c r="G1" s="42" t="str">
        <x:v>Flag count</x:v>
      </x:c>
      <x:c r="H1" s="42" t="str">
        <x:v>HL1</x:v>
      </x:c>
      <x:c r="I1" s="42" t="str">
        <x:v>HL2</x:v>
      </x:c>
      <x:c r="J1" s="42" t="str">
        <x:v>HL3</x:v>
      </x:c>
      <x:c r="K1" s="42" t="str">
        <x:v>HL4</x:v>
      </x:c>
      <x:c r="L1" s="42" t="str">
        <x:v>HL5</x:v>
      </x:c>
      <x:c r="M1" s="42" t="str">
        <x:v>HL6</x:v>
      </x:c>
      <x:c r="N1" s="42" t="str">
        <x:v>HL7</x:v>
      </x:c>
      <x:c r="O1" s="42" t="str">
        <x:v>TC1</x:v>
      </x:c>
      <x:c r="P1" s="42" t="str">
        <x:v>TC2</x:v>
      </x:c>
      <x:c r="Q1" s="42" t="str">
        <x:v>TC3</x:v>
      </x:c>
      <x:c r="R1" s="42" t="str">
        <x:v>TC4</x:v>
      </x:c>
      <x:c r="S1" s="42" t="str">
        <x:v>TC5</x:v>
      </x:c>
      <x:c r="T1" s="42" t="str">
        <x:v>TC6</x:v>
      </x:c>
      <x:c r="U1" s="42" t="str">
        <x:v>LE1</x:v>
      </x:c>
      <x:c r="V1" s="42" t="str">
        <x:v>LE2</x:v>
      </x:c>
      <x:c r="W1" s="42" t="str">
        <x:v>LE3</x:v>
      </x:c>
      <x:c r="X1" s="42" t="str">
        <x:v>LE4</x:v>
      </x:c>
      <x:c r="Y1" s="42" t="str">
        <x:v>LE5</x:v>
      </x:c>
      <x:c r="Z1" s="42" t="str">
        <x:v>LE6</x:v>
      </x:c>
      <x:c r="AA1" s="42" t="str">
        <x:v>TE1</x:v>
      </x:c>
      <x:c r="AB1" s="42" t="str">
        <x:v>TE2</x:v>
      </x:c>
      <x:c r="AC1" s="42" t="str">
        <x:v>TE3</x:v>
      </x:c>
      <x:c r="AD1" s="42" t="str">
        <x:v>TE4</x:v>
      </x:c>
      <x:c r="AE1" s="42" t="str">
        <x:v>TE5</x:v>
      </x:c>
      <x:c r="AF1" s="42" t="str">
        <x:v>TE6</x:v>
      </x:c>
      <x:c r="AG1" s="42" t="str">
        <x:v>TE7</x:v>
      </x:c>
      <x:c r="AH1" s="42" t="str">
        <x:v>Hybrid Learning</x:v>
      </x:c>
      <x:c r="AI1" s="42" t="str">
        <x:v>Trainer Competence</x:v>
      </x:c>
      <x:c r="AJ1" s="42" t="str">
        <x:v>Learner Engagement</x:v>
      </x:c>
      <x:c r="AK1" s="43" t="str">
        <x:v>Training Effectiveness</x:v>
      </x:c>
    </x:row>
    <x:row r="2">
      <x:c r="A2" s="44" t="str">
        <x:v>Digital-01</x:v>
      </x:c>
      <x:c r="B2" s="44" t="str">
        <x:v>digital</x:v>
      </x:c>
      <x:c r="C2" s="44" t="str">
        <x:v>25–34</x:v>
      </x:c>
      <x:c r="D2" s="44" t="str">
        <x:v>Below 5 years</x:v>
      </x:c>
      <x:c r="E2" s="44" t="str">
        <x:v>Officer</x:v>
      </x:c>
      <x:c r="F2" s="45" t="n">
        <x:v>0</x:v>
      </x:c>
      <x:c r="G2" s="45" t="n">
        <x:v>0</x:v>
      </x:c>
      <x:c r="H2" s="46" t="n">
        <x:v>3</x:v>
      </x:c>
      <x:c r="I2" s="46" t="n">
        <x:v>4</x:v>
      </x:c>
      <x:c r="J2" s="46" t="n">
        <x:v>4</x:v>
      </x:c>
      <x:c r="K2" s="46" t="n">
        <x:v>5</x:v>
      </x:c>
      <x:c r="L2" s="46" t="n">
        <x:v>4</x:v>
      </x:c>
      <x:c r="M2" s="46" t="n">
        <x:v>4</x:v>
      </x:c>
      <x:c r="N2" s="46" t="n">
        <x:v>5</x:v>
      </x:c>
      <x:c r="O2" s="46" t="n">
        <x:v>5</x:v>
      </x:c>
      <x:c r="P2" s="46" t="n">
        <x:v>4</x:v>
      </x:c>
      <x:c r="Q2" s="46" t="n">
        <x:v>4</x:v>
      </x:c>
      <x:c r="R2" s="46" t="n">
        <x:v>4</x:v>
      </x:c>
      <x:c r="S2" s="46" t="n">
        <x:v>5</x:v>
      </x:c>
      <x:c r="T2" s="46" t="n">
        <x:v>5</x:v>
      </x:c>
      <x:c r="U2" s="46" t="n">
        <x:v>3</x:v>
      </x:c>
      <x:c r="V2" s="46" t="n">
        <x:v>2</x:v>
      </x:c>
      <x:c r="W2" s="46" t="n">
        <x:v>3</x:v>
      </x:c>
      <x:c r="X2" s="46" t="n">
        <x:v>3</x:v>
      </x:c>
      <x:c r="Y2" s="46" t="n">
        <x:v>3</x:v>
      </x:c>
      <x:c r="Z2" s="46" t="n">
        <x:v>3</x:v>
      </x:c>
      <x:c r="AA2" s="46" t="n">
        <x:v>2</x:v>
      </x:c>
      <x:c r="AB2" s="46" t="n">
        <x:v>2</x:v>
      </x:c>
      <x:c r="AC2" s="46" t="n">
        <x:v>3</x:v>
      </x:c>
      <x:c r="AD2" s="46" t="n">
        <x:v>3</x:v>
      </x:c>
      <x:c r="AE2" s="46" t="n">
        <x:v>3</x:v>
      </x:c>
      <x:c r="AF2" s="46" t="n">
        <x:v>3</x:v>
      </x:c>
      <x:c r="AG2" s="46" t="n">
        <x:v>2</x:v>
      </x:c>
      <x:c r="AH2" s="46" t="n">
        <x:f>AVERAGE(H2:N2)</x:f>
        <x:v>4.142857142857143</x:v>
      </x:c>
      <x:c r="AI2" s="46" t="n">
        <x:f>AVERAGE(O2:T2)</x:f>
        <x:v>4.5</x:v>
      </x:c>
      <x:c r="AJ2" s="46" t="n">
        <x:f>AVERAGE(U2:Z2)</x:f>
        <x:v>2.8333333333333335</x:v>
      </x:c>
      <x:c r="AK2" s="46" t="n">
        <x:f>AVERAGE(AA2:AG2)</x:f>
        <x:v>2.5714285714285716</x:v>
      </x:c>
    </x:row>
    <x:row r="3">
      <x:c r="A3" s="44" t="str">
        <x:v>Digital-04</x:v>
      </x:c>
      <x:c r="B3" s="44" t="str">
        <x:v>digital</x:v>
      </x:c>
      <x:c r="C3" s="44" t="str">
        <x:v>35–44</x:v>
      </x:c>
      <x:c r="D3" s="44" t="str">
        <x:v>5–10 years</x:v>
      </x:c>
      <x:c r="E3" s="44" t="str">
        <x:v>Officer</x:v>
      </x:c>
      <x:c r="F3" s="45" t="n">
        <x:v>0</x:v>
      </x:c>
      <x:c r="G3" s="45" t="n">
        <x:v>0</x:v>
      </x:c>
      <x:c r="H3" s="46" t="n">
        <x:v>4</x:v>
      </x:c>
      <x:c r="I3" s="46" t="n">
        <x:v>4</x:v>
      </x:c>
      <x:c r="J3" s="46" t="n">
        <x:v>5</x:v>
      </x:c>
      <x:c r="K3" s="46" t="n">
        <x:v>4</x:v>
      </x:c>
      <x:c r="L3" s="46" t="n">
        <x:v>4</x:v>
      </x:c>
      <x:c r="M3" s="46" t="n">
        <x:v>5</x:v>
      </x:c>
      <x:c r="N3" s="46" t="n">
        <x:v>5</x:v>
      </x:c>
      <x:c r="O3" s="46" t="n">
        <x:v>5</x:v>
      </x:c>
      <x:c r="P3" s="46" t="n">
        <x:v>5</x:v>
      </x:c>
      <x:c r="Q3" s="46" t="n">
        <x:v>4</x:v>
      </x:c>
      <x:c r="R3" s="46" t="n">
        <x:v>5</x:v>
      </x:c>
      <x:c r="S3" s="46" t="n">
        <x:v>5</x:v>
      </x:c>
      <x:c r="T3" s="46" t="n">
        <x:v>4</x:v>
      </x:c>
      <x:c r="U3" s="46" t="n">
        <x:v>4</x:v>
      </x:c>
      <x:c r="V3" s="46" t="n">
        <x:v>5</x:v>
      </x:c>
      <x:c r="W3" s="46" t="n">
        <x:v>5</x:v>
      </x:c>
      <x:c r="X3" s="46" t="n">
        <x:v>5</x:v>
      </x:c>
      <x:c r="Y3" s="46" t="n">
        <x:v>5</x:v>
      </x:c>
      <x:c r="Z3" s="46" t="n">
        <x:v>5</x:v>
      </x:c>
      <x:c r="AA3" s="46" t="n">
        <x:v>4</x:v>
      </x:c>
      <x:c r="AB3" s="46" t="n">
        <x:v>5</x:v>
      </x:c>
      <x:c r="AC3" s="46" t="n">
        <x:v>5</x:v>
      </x:c>
      <x:c r="AD3" s="46" t="n">
        <x:v>4</x:v>
      </x:c>
      <x:c r="AE3" s="46" t="n">
        <x:v>5</x:v>
      </x:c>
      <x:c r="AF3" s="46" t="n">
        <x:v>4</x:v>
      </x:c>
      <x:c r="AG3" s="46" t="n">
        <x:v>5</x:v>
      </x:c>
      <x:c r="AH3" s="46" t="n">
        <x:f>AVERAGE(H3:N3)</x:f>
        <x:v>4.428571428571429</x:v>
      </x:c>
      <x:c r="AI3" s="46" t="n">
        <x:f>AVERAGE(O3:T3)</x:f>
        <x:v>4.666666666666667</x:v>
      </x:c>
      <x:c r="AJ3" s="46" t="n">
        <x:f>AVERAGE(U3:Z3)</x:f>
        <x:v>4.833333333333333</x:v>
      </x:c>
      <x:c r="AK3" s="46" t="n">
        <x:f>AVERAGE(AA3:AG3)</x:f>
        <x:v>4.571428571428571</x:v>
      </x:c>
    </x:row>
    <x:row r="4">
      <x:c r="A4" s="44" t="str">
        <x:v>Digital-05</x:v>
      </x:c>
      <x:c r="B4" s="44" t="str">
        <x:v>digital</x:v>
      </x:c>
      <x:c r="C4" s="44" t="str">
        <x:v>35–44</x:v>
      </x:c>
      <x:c r="D4" s="44" t="str">
        <x:v>Above 20 years</x:v>
      </x:c>
      <x:c r="E4" s="44" t="str">
        <x:v>Managerial</x:v>
      </x:c>
      <x:c r="F4" s="45" t="n">
        <x:v>0</x:v>
      </x:c>
      <x:c r="G4" s="45" t="n">
        <x:v>0</x:v>
      </x:c>
      <x:c r="H4" s="46" t="n">
        <x:v>5</x:v>
      </x:c>
      <x:c r="I4" s="46" t="n">
        <x:v>4</x:v>
      </x:c>
      <x:c r="J4" s="46" t="n">
        <x:v>4</x:v>
      </x:c>
      <x:c r="K4" s="46" t="n">
        <x:v>5</x:v>
      </x:c>
      <x:c r="L4" s="46" t="n">
        <x:v>5</x:v>
      </x:c>
      <x:c r="M4" s="46" t="n">
        <x:v>5</x:v>
      </x:c>
      <x:c r="N4" s="46" t="n">
        <x:v>5</x:v>
      </x:c>
      <x:c r="O4" s="46" t="n">
        <x:v>4</x:v>
      </x:c>
      <x:c r="P4" s="46" t="n">
        <x:v>4</x:v>
      </x:c>
      <x:c r="Q4" s="46" t="n">
        <x:v>4</x:v>
      </x:c>
      <x:c r="R4" s="46" t="n">
        <x:v>5</x:v>
      </x:c>
      <x:c r="S4" s="46" t="n">
        <x:v>5</x:v>
      </x:c>
      <x:c r="T4" s="46" t="n">
        <x:v>4</x:v>
      </x:c>
      <x:c r="U4" s="46" t="n">
        <x:v>5</x:v>
      </x:c>
      <x:c r="V4" s="46" t="n">
        <x:v>4</x:v>
      </x:c>
      <x:c r="W4" s="46" t="n">
        <x:v>4</x:v>
      </x:c>
      <x:c r="X4" s="46" t="n">
        <x:v>5</x:v>
      </x:c>
      <x:c r="Y4" s="46" t="n">
        <x:v>5</x:v>
      </x:c>
      <x:c r="Z4" s="46" t="n">
        <x:v>4</x:v>
      </x:c>
      <x:c r="AA4" s="46" t="n">
        <x:v>5</x:v>
      </x:c>
      <x:c r="AB4" s="46" t="n">
        <x:v>5</x:v>
      </x:c>
      <x:c r="AC4" s="46" t="n">
        <x:v>4</x:v>
      </x:c>
      <x:c r="AD4" s="46" t="n">
        <x:v>4</x:v>
      </x:c>
      <x:c r="AE4" s="46" t="n">
        <x:v>4</x:v>
      </x:c>
      <x:c r="AF4" s="46" t="n">
        <x:v>4</x:v>
      </x:c>
      <x:c r="AG4" s="46" t="n">
        <x:v>4</x:v>
      </x:c>
      <x:c r="AH4" s="46" t="n">
        <x:f>AVERAGE(H4:N4)</x:f>
        <x:v>4.714285714285714</x:v>
      </x:c>
      <x:c r="AI4" s="46" t="n">
        <x:f>AVERAGE(O4:T4)</x:f>
        <x:v>4.333333333333333</x:v>
      </x:c>
      <x:c r="AJ4" s="46" t="n">
        <x:f>AVERAGE(U4:Z4)</x:f>
        <x:v>4.5</x:v>
      </x:c>
      <x:c r="AK4" s="46" t="n">
        <x:f>AVERAGE(AA4:AG4)</x:f>
        <x:v>4.285714285714286</x:v>
      </x:c>
    </x:row>
    <x:row r="5">
      <x:c r="A5" s="44" t="str">
        <x:v>Digital-06</x:v>
      </x:c>
      <x:c r="B5" s="44" t="str">
        <x:v>digital</x:v>
      </x:c>
      <x:c r="C5" s="44" t="str">
        <x:v>45–54</x:v>
      </x:c>
      <x:c r="D5" s="44" t="str">
        <x:v>11–20 years</x:v>
      </x:c>
      <x:c r="E5" s="44" t="str">
        <x:v>Officer</x:v>
      </x:c>
      <x:c r="F5" s="45" t="n">
        <x:v>0</x:v>
      </x:c>
      <x:c r="G5" s="45" t="n">
        <x:v>0</x:v>
      </x:c>
      <x:c r="H5" s="46" t="n">
        <x:v>4</x:v>
      </x:c>
      <x:c r="I5" s="46" t="n">
        <x:v>4</x:v>
      </x:c>
      <x:c r="J5" s="46" t="n">
        <x:v>4</x:v>
      </x:c>
      <x:c r="K5" s="46" t="n">
        <x:v>4</x:v>
      </x:c>
      <x:c r="L5" s="46" t="n">
        <x:v>4</x:v>
      </x:c>
      <x:c r="M5" s="46" t="n">
        <x:v>4</x:v>
      </x:c>
      <x:c r="N5" s="46" t="n">
        <x:v>4</x:v>
      </x:c>
      <x:c r="O5" s="46" t="n">
        <x:v>4</x:v>
      </x:c>
      <x:c r="P5" s="46" t="n">
        <x:v>4</x:v>
      </x:c>
      <x:c r="Q5" s="46" t="n">
        <x:v>4</x:v>
      </x:c>
      <x:c r="R5" s="46" t="n">
        <x:v>4</x:v>
      </x:c>
      <x:c r="S5" s="46" t="n">
        <x:v>4</x:v>
      </x:c>
      <x:c r="T5" s="46" t="n">
        <x:v>4</x:v>
      </x:c>
      <x:c r="U5" s="46" t="n">
        <x:v>4</x:v>
      </x:c>
      <x:c r="V5" s="46" t="n">
        <x:v>4</x:v>
      </x:c>
      <x:c r="W5" s="46" t="n">
        <x:v>4</x:v>
      </x:c>
      <x:c r="X5" s="46" t="n">
        <x:v>4</x:v>
      </x:c>
      <x:c r="Y5" s="46" t="n">
        <x:v>4</x:v>
      </x:c>
      <x:c r="Z5" s="46" t="n">
        <x:v>4</x:v>
      </x:c>
      <x:c r="AA5" s="46" t="n">
        <x:v>3</x:v>
      </x:c>
      <x:c r="AB5" s="46" t="n">
        <x:v>3</x:v>
      </x:c>
      <x:c r="AC5" s="46" t="n">
        <x:v>3</x:v>
      </x:c>
      <x:c r="AD5" s="46" t="n">
        <x:v>3</x:v>
      </x:c>
      <x:c r="AE5" s="46" t="n">
        <x:v>3</x:v>
      </x:c>
      <x:c r="AF5" s="46" t="n">
        <x:v>3</x:v>
      </x:c>
      <x:c r="AG5" s="46" t="n">
        <x:v>3</x:v>
      </x:c>
      <x:c r="AH5" s="46" t="n">
        <x:f>AVERAGE(H5:N5)</x:f>
        <x:v>4</x:v>
      </x:c>
      <x:c r="AI5" s="46" t="n">
        <x:f>AVERAGE(O5:T5)</x:f>
        <x:v>4</x:v>
      </x:c>
      <x:c r="AJ5" s="46" t="n">
        <x:f>AVERAGE(U5:Z5)</x:f>
        <x:v>4</x:v>
      </x:c>
      <x:c r="AK5" s="46" t="n">
        <x:f>AVERAGE(AA5:AG5)</x:f>
        <x:v>3</x:v>
      </x:c>
    </x:row>
    <x:row r="6">
      <x:c r="A6" s="44" t="str">
        <x:v>Digital-07</x:v>
      </x:c>
      <x:c r="B6" s="44" t="str">
        <x:v>digital</x:v>
      </x:c>
      <x:c r="C6" s="44" t="str">
        <x:v>35–44</x:v>
      </x:c>
      <x:c r="D6" s="44" t="str">
        <x:v>11–20 years</x:v>
      </x:c>
      <x:c r="E6" s="44" t="str">
        <x:v>Officer</x:v>
      </x:c>
      <x:c r="F6" s="45" t="n">
        <x:v>0</x:v>
      </x:c>
      <x:c r="G6" s="45" t="n">
        <x:v>0</x:v>
      </x:c>
      <x:c r="H6" s="46" t="n">
        <x:v>5</x:v>
      </x:c>
      <x:c r="I6" s="46" t="n">
        <x:v>5</x:v>
      </x:c>
      <x:c r="J6" s="46" t="n">
        <x:v>5</x:v>
      </x:c>
      <x:c r="K6" s="46" t="n">
        <x:v>5</x:v>
      </x:c>
      <x:c r="L6" s="46" t="n">
        <x:v>5</x:v>
      </x:c>
      <x:c r="M6" s="46" t="n">
        <x:v>5</x:v>
      </x:c>
      <x:c r="N6" s="46" t="n">
        <x:v>5</x:v>
      </x:c>
      <x:c r="O6" s="46" t="n">
        <x:v>5</x:v>
      </x:c>
      <x:c r="P6" s="46" t="n">
        <x:v>5</x:v>
      </x:c>
      <x:c r="Q6" s="46" t="n">
        <x:v>5</x:v>
      </x:c>
      <x:c r="R6" s="46" t="n">
        <x:v>5</x:v>
      </x:c>
      <x:c r="S6" s="46" t="n">
        <x:v>5</x:v>
      </x:c>
      <x:c r="T6" s="46" t="n">
        <x:v>5</x:v>
      </x:c>
      <x:c r="U6" s="46" t="n">
        <x:v>5</x:v>
      </x:c>
      <x:c r="V6" s="46" t="n">
        <x:v>5</x:v>
      </x:c>
      <x:c r="W6" s="46" t="n">
        <x:v>5</x:v>
      </x:c>
      <x:c r="X6" s="46" t="n">
        <x:v>5</x:v>
      </x:c>
      <x:c r="Y6" s="46" t="n">
        <x:v>5</x:v>
      </x:c>
      <x:c r="Z6" s="46" t="n">
        <x:v>5</x:v>
      </x:c>
      <x:c r="AA6" s="46" t="n">
        <x:v>5</x:v>
      </x:c>
      <x:c r="AB6" s="46" t="n">
        <x:v>5</x:v>
      </x:c>
      <x:c r="AC6" s="46" t="n">
        <x:v>5</x:v>
      </x:c>
      <x:c r="AD6" s="46" t="n">
        <x:v>5</x:v>
      </x:c>
      <x:c r="AE6" s="46" t="n">
        <x:v>5</x:v>
      </x:c>
      <x:c r="AF6" s="46" t="n">
        <x:v>5</x:v>
      </x:c>
      <x:c r="AG6" s="46" t="n">
        <x:v>5</x:v>
      </x:c>
      <x:c r="AH6" s="46" t="n">
        <x:f>AVERAGE(H6:N6)</x:f>
        <x:v>5</x:v>
      </x:c>
      <x:c r="AI6" s="46" t="n">
        <x:f>AVERAGE(O6:T6)</x:f>
        <x:v>5</x:v>
      </x:c>
      <x:c r="AJ6" s="46" t="n">
        <x:f>AVERAGE(U6:Z6)</x:f>
        <x:v>5</x:v>
      </x:c>
      <x:c r="AK6" s="46" t="n">
        <x:f>AVERAGE(AA6:AG6)</x:f>
        <x:v>5</x:v>
      </x:c>
    </x:row>
    <x:row r="7">
      <x:c r="A7" s="44" t="str">
        <x:v>Digital-08</x:v>
      </x:c>
      <x:c r="B7" s="44" t="str">
        <x:v>digital</x:v>
      </x:c>
      <x:c r="C7" s="44" t="str">
        <x:v>35–44</x:v>
      </x:c>
      <x:c r="D7" s="44" t="str">
        <x:v>11–20 years</x:v>
      </x:c>
      <x:c r="E7" s="44" t="str">
        <x:v>Officer</x:v>
      </x:c>
      <x:c r="F7" s="45" t="n">
        <x:v>0</x:v>
      </x:c>
      <x:c r="G7" s="45" t="n">
        <x:v>0</x:v>
      </x:c>
      <x:c r="H7" s="46" t="n">
        <x:v>1</x:v>
      </x:c>
      <x:c r="I7" s="46" t="n">
        <x:v>1</x:v>
      </x:c>
      <x:c r="J7" s="46" t="n">
        <x:v>1</x:v>
      </x:c>
      <x:c r="K7" s="46" t="n">
        <x:v>3</x:v>
      </x:c>
      <x:c r="L7" s="46" t="n">
        <x:v>1</x:v>
      </x:c>
      <x:c r="M7" s="46" t="n">
        <x:v>1</x:v>
      </x:c>
      <x:c r="N7" s="46" t="n">
        <x:v>1</x:v>
      </x:c>
      <x:c r="O7" s="46" t="n">
        <x:v>1</x:v>
      </x:c>
      <x:c r="P7" s="46" t="n">
        <x:v>1</x:v>
      </x:c>
      <x:c r="Q7" s="46" t="n">
        <x:v>1</x:v>
      </x:c>
      <x:c r="R7" s="46" t="n">
        <x:v>1</x:v>
      </x:c>
      <x:c r="S7" s="46" t="n">
        <x:v>1</x:v>
      </x:c>
      <x:c r="T7" s="46" t="n">
        <x:v>1</x:v>
      </x:c>
      <x:c r="U7" s="46" t="n">
        <x:v>1</x:v>
      </x:c>
      <x:c r="V7" s="46" t="n">
        <x:v>1</x:v>
      </x:c>
      <x:c r="W7" s="46" t="n">
        <x:v>1</x:v>
      </x:c>
      <x:c r="X7" s="46" t="n">
        <x:v>1</x:v>
      </x:c>
      <x:c r="Y7" s="46" t="n">
        <x:v>1</x:v>
      </x:c>
      <x:c r="Z7" s="46" t="n">
        <x:v>1</x:v>
      </x:c>
      <x:c r="AA7" s="46" t="n">
        <x:v>1</x:v>
      </x:c>
      <x:c r="AB7" s="46" t="n">
        <x:v>1</x:v>
      </x:c>
      <x:c r="AC7" s="46" t="n">
        <x:v>1</x:v>
      </x:c>
      <x:c r="AD7" s="46" t="n">
        <x:v>1</x:v>
      </x:c>
      <x:c r="AE7" s="46" t="n">
        <x:v>1</x:v>
      </x:c>
      <x:c r="AF7" s="46" t="n">
        <x:v>1</x:v>
      </x:c>
      <x:c r="AG7" s="46" t="n">
        <x:v>1</x:v>
      </x:c>
      <x:c r="AH7" s="46" t="n">
        <x:f>AVERAGE(H7:N7)</x:f>
        <x:v>1.2857142857142858</x:v>
      </x:c>
      <x:c r="AI7" s="46" t="n">
        <x:f>AVERAGE(O7:T7)</x:f>
        <x:v>1</x:v>
      </x:c>
      <x:c r="AJ7" s="46" t="n">
        <x:f>AVERAGE(U7:Z7)</x:f>
        <x:v>1</x:v>
      </x:c>
      <x:c r="AK7" s="46" t="n">
        <x:f>AVERAGE(AA7:AG7)</x:f>
        <x:v>1</x:v>
      </x:c>
    </x:row>
    <x:row r="8">
      <x:c r="A8" s="44" t="str">
        <x:v>Digital-09</x:v>
      </x:c>
      <x:c r="B8" s="44" t="str">
        <x:v>digital</x:v>
      </x:c>
      <x:c r="C8" s="44" t="str">
        <x:v>35–44</x:v>
      </x:c>
      <x:c r="D8" s="44" t="str">
        <x:v>11–20 years</x:v>
      </x:c>
      <x:c r="E8" s="44" t="str">
        <x:v>Managerial</x:v>
      </x:c>
      <x:c r="F8" s="45" t="n">
        <x:v>0</x:v>
      </x:c>
      <x:c r="G8" s="45" t="n">
        <x:v>0</x:v>
      </x:c>
      <x:c r="H8" s="46" t="n">
        <x:v>4</x:v>
      </x:c>
      <x:c r="I8" s="46" t="n">
        <x:v>4</x:v>
      </x:c>
      <x:c r="J8" s="46" t="n">
        <x:v>4</x:v>
      </x:c>
      <x:c r="K8" s="46" t="n">
        <x:v>4</x:v>
      </x:c>
      <x:c r="L8" s="46" t="n">
        <x:v>4</x:v>
      </x:c>
      <x:c r="M8" s="46" t="n">
        <x:v>4</x:v>
      </x:c>
      <x:c r="N8" s="46" t="n">
        <x:v>5</x:v>
      </x:c>
      <x:c r="O8" s="46" t="n">
        <x:v>4</x:v>
      </x:c>
      <x:c r="P8" s="46" t="n">
        <x:v>4</x:v>
      </x:c>
      <x:c r="Q8" s="46" t="n">
        <x:v>4</x:v>
      </x:c>
      <x:c r="R8" s="46" t="n">
        <x:v>4</x:v>
      </x:c>
      <x:c r="S8" s="46" t="n">
        <x:v>5</x:v>
      </x:c>
      <x:c r="T8" s="46" t="n">
        <x:v>4</x:v>
      </x:c>
      <x:c r="U8" s="46" t="n">
        <x:v>5</x:v>
      </x:c>
      <x:c r="V8" s="46" t="n">
        <x:v>5</x:v>
      </x:c>
      <x:c r="W8" s="46" t="n">
        <x:v>4</x:v>
      </x:c>
      <x:c r="X8" s="46" t="n">
        <x:v>4</x:v>
      </x:c>
      <x:c r="Y8" s="46" t="n">
        <x:v>5</x:v>
      </x:c>
      <x:c r="Z8" s="46" t="n">
        <x:v>4</x:v>
      </x:c>
      <x:c r="AA8" s="46" t="n">
        <x:v>4</x:v>
      </x:c>
      <x:c r="AB8" s="46" t="n">
        <x:v>4</x:v>
      </x:c>
      <x:c r="AC8" s="46" t="n">
        <x:v>4</x:v>
      </x:c>
      <x:c r="AD8" s="46" t="n">
        <x:v>4</x:v>
      </x:c>
      <x:c r="AE8" s="46" t="n">
        <x:v>4</x:v>
      </x:c>
      <x:c r="AF8" s="46" t="n">
        <x:v>4</x:v>
      </x:c>
      <x:c r="AG8" s="46" t="n">
        <x:v>4</x:v>
      </x:c>
      <x:c r="AH8" s="46" t="n">
        <x:f>AVERAGE(H8:N8)</x:f>
        <x:v>4.142857142857143</x:v>
      </x:c>
      <x:c r="AI8" s="46" t="n">
        <x:f>AVERAGE(O8:T8)</x:f>
        <x:v>4.166666666666667</x:v>
      </x:c>
      <x:c r="AJ8" s="46" t="n">
        <x:f>AVERAGE(U8:Z8)</x:f>
        <x:v>4.5</x:v>
      </x:c>
      <x:c r="AK8" s="46" t="n">
        <x:f>AVERAGE(AA8:AG8)</x:f>
        <x:v>4</x:v>
      </x:c>
    </x:row>
    <x:row r="9">
      <x:c r="A9" s="44" t="str">
        <x:v>Digital-10</x:v>
      </x:c>
      <x:c r="B9" s="44" t="str">
        <x:v>digital</x:v>
      </x:c>
      <x:c r="C9" s="44" t="str">
        <x:v>25–34</x:v>
      </x:c>
      <x:c r="D9" s="44" t="str">
        <x:v>5–10 years</x:v>
      </x:c>
      <x:c r="E9" s="44" t="str">
        <x:v>Clerical</x:v>
      </x:c>
      <x:c r="F9" s="45" t="n">
        <x:v>0</x:v>
      </x:c>
      <x:c r="G9" s="45" t="n">
        <x:v>0</x:v>
      </x:c>
      <x:c r="H9" s="46" t="n">
        <x:v>5</x:v>
      </x:c>
      <x:c r="I9" s="46" t="n">
        <x:v>5</x:v>
      </x:c>
      <x:c r="J9" s="46" t="n">
        <x:v>5</x:v>
      </x:c>
      <x:c r="K9" s="46" t="n">
        <x:v>5</x:v>
      </x:c>
      <x:c r="L9" s="46" t="n">
        <x:v>5</x:v>
      </x:c>
      <x:c r="M9" s="46" t="n">
        <x:v>5</x:v>
      </x:c>
      <x:c r="N9" s="46" t="n">
        <x:v>5</x:v>
      </x:c>
      <x:c r="O9" s="46" t="n">
        <x:v>5</x:v>
      </x:c>
      <x:c r="P9" s="46" t="n">
        <x:v>5</x:v>
      </x:c>
      <x:c r="Q9" s="46" t="n">
        <x:v>5</x:v>
      </x:c>
      <x:c r="R9" s="46" t="n">
        <x:v>5</x:v>
      </x:c>
      <x:c r="S9" s="46" t="n">
        <x:v>5</x:v>
      </x:c>
      <x:c r="T9" s="46" t="n">
        <x:v>5</x:v>
      </x:c>
      <x:c r="U9" s="46" t="n">
        <x:v>5</x:v>
      </x:c>
      <x:c r="V9" s="46" t="n">
        <x:v>4</x:v>
      </x:c>
      <x:c r="W9" s="46" t="n">
        <x:v>5</x:v>
      </x:c>
      <x:c r="X9" s="46" t="n">
        <x:v>5</x:v>
      </x:c>
      <x:c r="Y9" s="46" t="n">
        <x:v>4</x:v>
      </x:c>
      <x:c r="Z9" s="46" t="n">
        <x:v>5</x:v>
      </x:c>
      <x:c r="AA9" s="46" t="n">
        <x:v>5</x:v>
      </x:c>
      <x:c r="AB9" s="46" t="n">
        <x:v>4</x:v>
      </x:c>
      <x:c r="AC9" s="46" t="n">
        <x:v>5</x:v>
      </x:c>
      <x:c r="AD9" s="46" t="n">
        <x:v>4</x:v>
      </x:c>
      <x:c r="AE9" s="46" t="n">
        <x:v>5</x:v>
      </x:c>
      <x:c r="AF9" s="46" t="n">
        <x:v>4</x:v>
      </x:c>
      <x:c r="AG9" s="46" t="n">
        <x:v>5</x:v>
      </x:c>
      <x:c r="AH9" s="46" t="n">
        <x:f>AVERAGE(H9:N9)</x:f>
        <x:v>5</x:v>
      </x:c>
      <x:c r="AI9" s="46" t="n">
        <x:f>AVERAGE(O9:T9)</x:f>
        <x:v>5</x:v>
      </x:c>
      <x:c r="AJ9" s="46" t="n">
        <x:f>AVERAGE(U9:Z9)</x:f>
        <x:v>4.666666666666667</x:v>
      </x:c>
      <x:c r="AK9" s="46" t="n">
        <x:f>AVERAGE(AA9:AG9)</x:f>
        <x:v>4.571428571428571</x:v>
      </x:c>
    </x:row>
    <x:row r="10">
      <x:c r="A10" s="44" t="str">
        <x:v>Digital-11</x:v>
      </x:c>
      <x:c r="B10" s="44" t="str">
        <x:v>digital</x:v>
      </x:c>
      <x:c r="C10" s="44" t="str">
        <x:v>25–34</x:v>
      </x:c>
      <x:c r="D10" s="44" t="str">
        <x:v>5–10 years</x:v>
      </x:c>
      <x:c r="E10" s="44" t="str">
        <x:v>Officer</x:v>
      </x:c>
      <x:c r="F10" s="45" t="n">
        <x:v>0</x:v>
      </x:c>
      <x:c r="G10" s="45" t="n">
        <x:v>0</x:v>
      </x:c>
      <x:c r="H10" s="46" t="n">
        <x:v>5</x:v>
      </x:c>
      <x:c r="I10" s="46" t="n">
        <x:v>5</x:v>
      </x:c>
      <x:c r="J10" s="46" t="n">
        <x:v>5</x:v>
      </x:c>
      <x:c r="K10" s="46" t="n">
        <x:v>5</x:v>
      </x:c>
      <x:c r="L10" s="46" t="n">
        <x:v>5</x:v>
      </x:c>
      <x:c r="M10" s="46" t="n">
        <x:v>5</x:v>
      </x:c>
      <x:c r="N10" s="46" t="n">
        <x:v>5</x:v>
      </x:c>
      <x:c r="O10" s="46" t="n">
        <x:v>5</x:v>
      </x:c>
      <x:c r="P10" s="46" t="n">
        <x:v>5</x:v>
      </x:c>
      <x:c r="Q10" s="46" t="n">
        <x:v>5</x:v>
      </x:c>
      <x:c r="R10" s="46" t="n">
        <x:v>5</x:v>
      </x:c>
      <x:c r="S10" s="46" t="n">
        <x:v>5</x:v>
      </x:c>
      <x:c r="T10" s="46" t="n">
        <x:v>5</x:v>
      </x:c>
      <x:c r="U10" s="46" t="n">
        <x:v>5</x:v>
      </x:c>
      <x:c r="V10" s="46" t="n">
        <x:v>5</x:v>
      </x:c>
      <x:c r="W10" s="46" t="n">
        <x:v>5</x:v>
      </x:c>
      <x:c r="X10" s="46" t="n">
        <x:v>5</x:v>
      </x:c>
      <x:c r="Y10" s="46" t="n">
        <x:v>5</x:v>
      </x:c>
      <x:c r="Z10" s="46" t="n">
        <x:v>5</x:v>
      </x:c>
      <x:c r="AA10" s="46" t="n">
        <x:v>5</x:v>
      </x:c>
      <x:c r="AB10" s="46" t="n">
        <x:v>5</x:v>
      </x:c>
      <x:c r="AC10" s="46" t="n">
        <x:v>5</x:v>
      </x:c>
      <x:c r="AD10" s="46" t="n">
        <x:v>5</x:v>
      </x:c>
      <x:c r="AE10" s="46" t="n">
        <x:v>5</x:v>
      </x:c>
      <x:c r="AF10" s="46" t="n">
        <x:v>5</x:v>
      </x:c>
      <x:c r="AG10" s="46" t="n">
        <x:v>5</x:v>
      </x:c>
      <x:c r="AH10" s="46" t="n">
        <x:f>AVERAGE(H10:N10)</x:f>
        <x:v>5</x:v>
      </x:c>
      <x:c r="AI10" s="46" t="n">
        <x:f>AVERAGE(O10:T10)</x:f>
        <x:v>5</x:v>
      </x:c>
      <x:c r="AJ10" s="46" t="n">
        <x:f>AVERAGE(U10:Z10)</x:f>
        <x:v>5</x:v>
      </x:c>
      <x:c r="AK10" s="46" t="n">
        <x:f>AVERAGE(AA10:AG10)</x:f>
        <x:v>5</x:v>
      </x:c>
    </x:row>
    <x:row r="11">
      <x:c r="A11" s="44" t="str">
        <x:v>Digital-12</x:v>
      </x:c>
      <x:c r="B11" s="44" t="str">
        <x:v>digital</x:v>
      </x:c>
      <x:c r="C11" s="44" t="str">
        <x:v>25–34</x:v>
      </x:c>
      <x:c r="D11" s="44" t="str">
        <x:v>5–10 years</x:v>
      </x:c>
      <x:c r="E11" s="44" t="str">
        <x:v>Officer</x:v>
      </x:c>
      <x:c r="F11" s="45" t="n">
        <x:v>0</x:v>
      </x:c>
      <x:c r="G11" s="45" t="n">
        <x:v>0</x:v>
      </x:c>
      <x:c r="H11" s="46" t="n">
        <x:v>2</x:v>
      </x:c>
      <x:c r="I11" s="46" t="n">
        <x:v>2</x:v>
      </x:c>
      <x:c r="J11" s="46" t="n">
        <x:v>3</x:v>
      </x:c>
      <x:c r="K11" s="46" t="n">
        <x:v>3</x:v>
      </x:c>
      <x:c r="L11" s="46" t="n">
        <x:v>3</x:v>
      </x:c>
      <x:c r="M11" s="46" t="n">
        <x:v>4</x:v>
      </x:c>
      <x:c r="N11" s="46" t="n">
        <x:v>3</x:v>
      </x:c>
      <x:c r="O11" s="46" t="n">
        <x:v>3</x:v>
      </x:c>
      <x:c r="P11" s="46" t="n">
        <x:v>3</x:v>
      </x:c>
      <x:c r="Q11" s="46" t="n">
        <x:v>3</x:v>
      </x:c>
      <x:c r="R11" s="46" t="n">
        <x:v>3</x:v>
      </x:c>
      <x:c r="S11" s="46" t="n">
        <x:v>3</x:v>
      </x:c>
      <x:c r="T11" s="46" t="n">
        <x:v>2</x:v>
      </x:c>
      <x:c r="U11" s="46" t="n">
        <x:v>2</x:v>
      </x:c>
      <x:c r="V11" s="46" t="n">
        <x:v>2</x:v>
      </x:c>
      <x:c r="W11" s="46" t="n">
        <x:v>3</x:v>
      </x:c>
      <x:c r="X11" s="46" t="n">
        <x:v>3</x:v>
      </x:c>
      <x:c r="Y11" s="46" t="n">
        <x:v>3</x:v>
      </x:c>
      <x:c r="Z11" s="46" t="n">
        <x:v>3</x:v>
      </x:c>
      <x:c r="AA11" s="46" t="n">
        <x:v>3</x:v>
      </x:c>
      <x:c r="AB11" s="46" t="n">
        <x:v>3</x:v>
      </x:c>
      <x:c r="AC11" s="46" t="n">
        <x:v>3</x:v>
      </x:c>
      <x:c r="AD11" s="46" t="n">
        <x:v>3</x:v>
      </x:c>
      <x:c r="AE11" s="46" t="n">
        <x:v>3</x:v>
      </x:c>
      <x:c r="AF11" s="46" t="n">
        <x:v>3</x:v>
      </x:c>
      <x:c r="AG11" s="46" t="n">
        <x:v>3</x:v>
      </x:c>
      <x:c r="AH11" s="46" t="n">
        <x:f>AVERAGE(H11:N11)</x:f>
        <x:v>2.857142857142857</x:v>
      </x:c>
      <x:c r="AI11" s="46" t="n">
        <x:f>AVERAGE(O11:T11)</x:f>
        <x:v>2.8333333333333335</x:v>
      </x:c>
      <x:c r="AJ11" s="46" t="n">
        <x:f>AVERAGE(U11:Z11)</x:f>
        <x:v>2.6666666666666665</x:v>
      </x:c>
      <x:c r="AK11" s="46" t="n">
        <x:f>AVERAGE(AA11:AG11)</x:f>
        <x:v>3</x:v>
      </x:c>
    </x:row>
    <x:row r="12">
      <x:c r="A12" s="44" t="str">
        <x:v>Digital-13</x:v>
      </x:c>
      <x:c r="B12" s="44" t="str">
        <x:v>digital</x:v>
      </x:c>
      <x:c r="C12" s="44" t="str">
        <x:v>35–44</x:v>
      </x:c>
      <x:c r="D12" s="44" t="str">
        <x:v>11–20 years</x:v>
      </x:c>
      <x:c r="E12" s="44" t="str">
        <x:v>Officer</x:v>
      </x:c>
      <x:c r="F12" s="45" t="n">
        <x:v>0</x:v>
      </x:c>
      <x:c r="G12" s="45" t="n">
        <x:v>0</x:v>
      </x:c>
      <x:c r="H12" s="46" t="n">
        <x:v>5</x:v>
      </x:c>
      <x:c r="I12" s="46" t="n">
        <x:v>4</x:v>
      </x:c>
      <x:c r="J12" s="46" t="n">
        <x:v>4</x:v>
      </x:c>
      <x:c r="K12" s="46" t="n">
        <x:v>5</x:v>
      </x:c>
      <x:c r="L12" s="46" t="n">
        <x:v>4</x:v>
      </x:c>
      <x:c r="M12" s="46" t="n">
        <x:v>4</x:v>
      </x:c>
      <x:c r="N12" s="46" t="n">
        <x:v>5</x:v>
      </x:c>
      <x:c r="O12" s="46" t="n">
        <x:v>4</x:v>
      </x:c>
      <x:c r="P12" s="46" t="n">
        <x:v>4</x:v>
      </x:c>
      <x:c r="Q12" s="46" t="n">
        <x:v>4</x:v>
      </x:c>
      <x:c r="R12" s="46" t="n">
        <x:v>4</x:v>
      </x:c>
      <x:c r="S12" s="46" t="n">
        <x:v>4</x:v>
      </x:c>
      <x:c r="T12" s="46" t="n">
        <x:v>4</x:v>
      </x:c>
      <x:c r="U12" s="46" t="n">
        <x:v>4</x:v>
      </x:c>
      <x:c r="V12" s="46" t="n">
        <x:v>4</x:v>
      </x:c>
      <x:c r="W12" s="46" t="n">
        <x:v>4</x:v>
      </x:c>
      <x:c r="X12" s="46" t="n">
        <x:v>4</x:v>
      </x:c>
      <x:c r="Y12" s="46" t="n">
        <x:v>4</x:v>
      </x:c>
      <x:c r="Z12" s="46" t="n">
        <x:v>4</x:v>
      </x:c>
      <x:c r="AA12" s="46" t="n">
        <x:v>3</x:v>
      </x:c>
      <x:c r="AB12" s="46" t="n">
        <x:v>3</x:v>
      </x:c>
      <x:c r="AC12" s="46" t="n">
        <x:v>3</x:v>
      </x:c>
      <x:c r="AD12" s="46" t="n">
        <x:v>3</x:v>
      </x:c>
      <x:c r="AE12" s="46" t="n">
        <x:v>3</x:v>
      </x:c>
      <x:c r="AF12" s="46" t="n">
        <x:v>3</x:v>
      </x:c>
      <x:c r="AG12" s="46" t="n">
        <x:v>3</x:v>
      </x:c>
      <x:c r="AH12" s="46" t="n">
        <x:f>AVERAGE(H12:N12)</x:f>
        <x:v>4.428571428571429</x:v>
      </x:c>
      <x:c r="AI12" s="46" t="n">
        <x:f>AVERAGE(O12:T12)</x:f>
        <x:v>4</x:v>
      </x:c>
      <x:c r="AJ12" s="46" t="n">
        <x:f>AVERAGE(U12:Z12)</x:f>
        <x:v>4</x:v>
      </x:c>
      <x:c r="AK12" s="46" t="n">
        <x:f>AVERAGE(AA12:AG12)</x:f>
        <x:v>3</x:v>
      </x:c>
    </x:row>
    <x:row r="13">
      <x:c r="A13" s="44" t="str">
        <x:v>Digital-14</x:v>
      </x:c>
      <x:c r="B13" s="44" t="str">
        <x:v>digital</x:v>
      </x:c>
      <x:c r="C13" s="44" t="str">
        <x:v>35–44</x:v>
      </x:c>
      <x:c r="D13" s="44" t="str">
        <x:v>5–10 years</x:v>
      </x:c>
      <x:c r="E13" s="44" t="str">
        <x:v>Officer</x:v>
      </x:c>
      <x:c r="F13" s="45" t="n">
        <x:v>0</x:v>
      </x:c>
      <x:c r="G13" s="45" t="n">
        <x:v>0</x:v>
      </x:c>
      <x:c r="H13" s="46" t="n">
        <x:v>4</x:v>
      </x:c>
      <x:c r="I13" s="46" t="n">
        <x:v>4</x:v>
      </x:c>
      <x:c r="J13" s="46" t="n">
        <x:v>4</x:v>
      </x:c>
      <x:c r="K13" s="46" t="n">
        <x:v>5</x:v>
      </x:c>
      <x:c r="L13" s="46" t="n">
        <x:v>5</x:v>
      </x:c>
      <x:c r="M13" s="46" t="n">
        <x:v>4</x:v>
      </x:c>
      <x:c r="N13" s="46" t="n">
        <x:v>4</x:v>
      </x:c>
      <x:c r="O13" s="46" t="n">
        <x:v>5</x:v>
      </x:c>
      <x:c r="P13" s="46" t="n">
        <x:v>5</x:v>
      </x:c>
      <x:c r="Q13" s="46" t="n">
        <x:v>5</x:v>
      </x:c>
      <x:c r="R13" s="46" t="n">
        <x:v>5</x:v>
      </x:c>
      <x:c r="S13" s="46" t="n">
        <x:v>5</x:v>
      </x:c>
      <x:c r="T13" s="46" t="n">
        <x:v>5</x:v>
      </x:c>
      <x:c r="U13" s="46" t="n">
        <x:v>5</x:v>
      </x:c>
      <x:c r="V13" s="46" t="n">
        <x:v>5</x:v>
      </x:c>
      <x:c r="W13" s="46" t="n">
        <x:v>5</x:v>
      </x:c>
      <x:c r="X13" s="46" t="n">
        <x:v>5</x:v>
      </x:c>
      <x:c r="Y13" s="46" t="n">
        <x:v>5</x:v>
      </x:c>
      <x:c r="Z13" s="46" t="n">
        <x:v>5</x:v>
      </x:c>
      <x:c r="AA13" s="46" t="n">
        <x:v>5</x:v>
      </x:c>
      <x:c r="AB13" s="46" t="n">
        <x:v>5</x:v>
      </x:c>
      <x:c r="AC13" s="46" t="n">
        <x:v>5</x:v>
      </x:c>
      <x:c r="AD13" s="46" t="n">
        <x:v>5</x:v>
      </x:c>
      <x:c r="AE13" s="46" t="n">
        <x:v>5</x:v>
      </x:c>
      <x:c r="AF13" s="46" t="n">
        <x:v>5</x:v>
      </x:c>
      <x:c r="AG13" s="46" t="n">
        <x:v>5</x:v>
      </x:c>
      <x:c r="AH13" s="46" t="n">
        <x:f>AVERAGE(H13:N13)</x:f>
        <x:v>4.285714285714286</x:v>
      </x:c>
      <x:c r="AI13" s="46" t="n">
        <x:f>AVERAGE(O13:T13)</x:f>
        <x:v>5</x:v>
      </x:c>
      <x:c r="AJ13" s="46" t="n">
        <x:f>AVERAGE(U13:Z13)</x:f>
        <x:v>5</x:v>
      </x:c>
      <x:c r="AK13" s="46" t="n">
        <x:f>AVERAGE(AA13:AG13)</x:f>
        <x:v>5</x:v>
      </x:c>
    </x:row>
    <x:row r="14">
      <x:c r="A14" s="44" t="str">
        <x:v>Digital-15</x:v>
      </x:c>
      <x:c r="B14" s="44" t="str">
        <x:v>digital</x:v>
      </x:c>
      <x:c r="C14" s="44" t="str">
        <x:v>35–44</x:v>
      </x:c>
      <x:c r="D14" s="44" t="str">
        <x:v>11–20 years</x:v>
      </x:c>
      <x:c r="E14" s="44" t="str">
        <x:v>Officer</x:v>
      </x:c>
      <x:c r="F14" s="45" t="n">
        <x:v>0</x:v>
      </x:c>
      <x:c r="G14" s="45" t="n">
        <x:v>0</x:v>
      </x:c>
      <x:c r="H14" s="46" t="n">
        <x:v>4</x:v>
      </x:c>
      <x:c r="I14" s="46" t="n">
        <x:v>4</x:v>
      </x:c>
      <x:c r="J14" s="46" t="n">
        <x:v>4</x:v>
      </x:c>
      <x:c r="K14" s="46" t="n">
        <x:v>4</x:v>
      </x:c>
      <x:c r="L14" s="46" t="n">
        <x:v>3</x:v>
      </x:c>
      <x:c r="M14" s="46" t="n">
        <x:v>3</x:v>
      </x:c>
      <x:c r="N14" s="46" t="n">
        <x:v>4</x:v>
      </x:c>
      <x:c r="O14" s="46" t="n">
        <x:v>4</x:v>
      </x:c>
      <x:c r="P14" s="46" t="n">
        <x:v>5</x:v>
      </x:c>
      <x:c r="Q14" s="46" t="n">
        <x:v>3</x:v>
      </x:c>
      <x:c r="R14" s="46" t="n">
        <x:v>3</x:v>
      </x:c>
      <x:c r="S14" s="46" t="n">
        <x:v>5</x:v>
      </x:c>
      <x:c r="T14" s="46" t="n">
        <x:v>2</x:v>
      </x:c>
      <x:c r="U14" s="46" t="n">
        <x:v>4</x:v>
      </x:c>
      <x:c r="V14" s="46" t="n">
        <x:v>4</x:v>
      </x:c>
      <x:c r="W14" s="46" t="n">
        <x:v>3</x:v>
      </x:c>
      <x:c r="X14" s="46" t="n">
        <x:v>5</x:v>
      </x:c>
      <x:c r="Y14" s="46" t="n">
        <x:v>5</x:v>
      </x:c>
      <x:c r="Z14" s="46" t="n">
        <x:v>4</x:v>
      </x:c>
      <x:c r="AA14" s="46" t="n">
        <x:v>4</x:v>
      </x:c>
      <x:c r="AB14" s="46" t="n">
        <x:v>3</x:v>
      </x:c>
      <x:c r="AC14" s="46" t="n">
        <x:v>3</x:v>
      </x:c>
      <x:c r="AD14" s="46" t="n">
        <x:v>3</x:v>
      </x:c>
      <x:c r="AE14" s="46" t="n">
        <x:v>2</x:v>
      </x:c>
      <x:c r="AF14" s="46" t="n">
        <x:v>3</x:v>
      </x:c>
      <x:c r="AG14" s="46" t="n">
        <x:v>3</x:v>
      </x:c>
      <x:c r="AH14" s="46" t="n">
        <x:f>AVERAGE(H14:N14)</x:f>
        <x:v>3.7142857142857144</x:v>
      </x:c>
      <x:c r="AI14" s="46" t="n">
        <x:f>AVERAGE(O14:T14)</x:f>
        <x:v>3.6666666666666665</x:v>
      </x:c>
      <x:c r="AJ14" s="46" t="n">
        <x:f>AVERAGE(U14:Z14)</x:f>
        <x:v>4.166666666666667</x:v>
      </x:c>
      <x:c r="AK14" s="46" t="n">
        <x:f>AVERAGE(AA14:AG14)</x:f>
        <x:v>3</x:v>
      </x:c>
    </x:row>
    <x:row r="15">
      <x:c r="A15" s="44" t="str">
        <x:v>Digital-16</x:v>
      </x:c>
      <x:c r="B15" s="44" t="str">
        <x:v>digital</x:v>
      </x:c>
      <x:c r="C15" s="44" t="str">
        <x:v>35–44</x:v>
      </x:c>
      <x:c r="D15" s="44" t="str">
        <x:v>5–10 years</x:v>
      </x:c>
      <x:c r="E15" s="44" t="str">
        <x:v>Officer</x:v>
      </x:c>
      <x:c r="F15" s="45" t="n">
        <x:v>0</x:v>
      </x:c>
      <x:c r="G15" s="45" t="n">
        <x:v>0</x:v>
      </x:c>
      <x:c r="H15" s="46" t="n">
        <x:v>5</x:v>
      </x:c>
      <x:c r="I15" s="46" t="n">
        <x:v>5</x:v>
      </x:c>
      <x:c r="J15" s="46" t="n">
        <x:v>5</x:v>
      </x:c>
      <x:c r="K15" s="46" t="n">
        <x:v>5</x:v>
      </x:c>
      <x:c r="L15" s="46" t="n">
        <x:v>5</x:v>
      </x:c>
      <x:c r="M15" s="46" t="n">
        <x:v>5</x:v>
      </x:c>
      <x:c r="N15" s="46" t="n">
        <x:v>5</x:v>
      </x:c>
      <x:c r="O15" s="46" t="n">
        <x:v>5</x:v>
      </x:c>
      <x:c r="P15" s="46" t="n">
        <x:v>5</x:v>
      </x:c>
      <x:c r="Q15" s="46" t="n">
        <x:v>5</x:v>
      </x:c>
      <x:c r="R15" s="46" t="n">
        <x:v>5</x:v>
      </x:c>
      <x:c r="S15" s="46" t="n">
        <x:v>5</x:v>
      </x:c>
      <x:c r="T15" s="46" t="n">
        <x:v>5</x:v>
      </x:c>
      <x:c r="U15" s="46" t="n">
        <x:v>5</x:v>
      </x:c>
      <x:c r="V15" s="46" t="n">
        <x:v>5</x:v>
      </x:c>
      <x:c r="W15" s="46" t="n">
        <x:v>5</x:v>
      </x:c>
      <x:c r="X15" s="46" t="n">
        <x:v>5</x:v>
      </x:c>
      <x:c r="Y15" s="46" t="n">
        <x:v>5</x:v>
      </x:c>
      <x:c r="Z15" s="46" t="n">
        <x:v>5</x:v>
      </x:c>
      <x:c r="AA15" s="46" t="n">
        <x:v>5</x:v>
      </x:c>
      <x:c r="AB15" s="46" t="n">
        <x:v>5</x:v>
      </x:c>
      <x:c r="AC15" s="46" t="n">
        <x:v>5</x:v>
      </x:c>
      <x:c r="AD15" s="46" t="n">
        <x:v>5</x:v>
      </x:c>
      <x:c r="AE15" s="46" t="n">
        <x:v>5</x:v>
      </x:c>
      <x:c r="AF15" s="46" t="n">
        <x:v>5</x:v>
      </x:c>
      <x:c r="AG15" s="46" t="n">
        <x:v>5</x:v>
      </x:c>
      <x:c r="AH15" s="46" t="n">
        <x:f>AVERAGE(H15:N15)</x:f>
        <x:v>5</x:v>
      </x:c>
      <x:c r="AI15" s="46" t="n">
        <x:f>AVERAGE(O15:T15)</x:f>
        <x:v>5</x:v>
      </x:c>
      <x:c r="AJ15" s="46" t="n">
        <x:f>AVERAGE(U15:Z15)</x:f>
        <x:v>5</x:v>
      </x:c>
      <x:c r="AK15" s="46" t="n">
        <x:f>AVERAGE(AA15:AG15)</x:f>
        <x:v>5</x:v>
      </x:c>
    </x:row>
    <x:row r="16">
      <x:c r="A16" s="44" t="str">
        <x:v>Digital-17</x:v>
      </x:c>
      <x:c r="B16" s="44" t="str">
        <x:v>digital</x:v>
      </x:c>
      <x:c r="C16" s="44" t="str">
        <x:v>35–44</x:v>
      </x:c>
      <x:c r="D16" s="44" t="str">
        <x:v>11–20 years</x:v>
      </x:c>
      <x:c r="E16" s="44" t="str">
        <x:v>Clerical</x:v>
      </x:c>
      <x:c r="F16" s="45" t="n">
        <x:v>0</x:v>
      </x:c>
      <x:c r="G16" s="45" t="n">
        <x:v>0</x:v>
      </x:c>
      <x:c r="H16" s="46" t="n">
        <x:v>5</x:v>
      </x:c>
      <x:c r="I16" s="46" t="n">
        <x:v>5</x:v>
      </x:c>
      <x:c r="J16" s="46" t="n">
        <x:v>5</x:v>
      </x:c>
      <x:c r="K16" s="46" t="n">
        <x:v>5</x:v>
      </x:c>
      <x:c r="L16" s="46" t="n">
        <x:v>5</x:v>
      </x:c>
      <x:c r="M16" s="46" t="n">
        <x:v>5</x:v>
      </x:c>
      <x:c r="N16" s="46" t="n">
        <x:v>5</x:v>
      </x:c>
      <x:c r="O16" s="46" t="n">
        <x:v>5</x:v>
      </x:c>
      <x:c r="P16" s="46" t="n">
        <x:v>5</x:v>
      </x:c>
      <x:c r="Q16" s="46" t="n">
        <x:v>5</x:v>
      </x:c>
      <x:c r="R16" s="46" t="n">
        <x:v>5</x:v>
      </x:c>
      <x:c r="S16" s="46" t="n">
        <x:v>5</x:v>
      </x:c>
      <x:c r="T16" s="46" t="n">
        <x:v>5</x:v>
      </x:c>
      <x:c r="U16" s="46" t="n">
        <x:v>5</x:v>
      </x:c>
      <x:c r="V16" s="46" t="n">
        <x:v>5</x:v>
      </x:c>
      <x:c r="W16" s="46" t="n">
        <x:v>5</x:v>
      </x:c>
      <x:c r="X16" s="46" t="n">
        <x:v>5</x:v>
      </x:c>
      <x:c r="Y16" s="46" t="n">
        <x:v>5</x:v>
      </x:c>
      <x:c r="Z16" s="46" t="n">
        <x:v>5</x:v>
      </x:c>
      <x:c r="AA16" s="46" t="n">
        <x:v>5</x:v>
      </x:c>
      <x:c r="AB16" s="46" t="n">
        <x:v>5</x:v>
      </x:c>
      <x:c r="AC16" s="46" t="n">
        <x:v>5</x:v>
      </x:c>
      <x:c r="AD16" s="46" t="n">
        <x:v>5</x:v>
      </x:c>
      <x:c r="AE16" s="46" t="n">
        <x:v>5</x:v>
      </x:c>
      <x:c r="AF16" s="46" t="n">
        <x:v>5</x:v>
      </x:c>
      <x:c r="AG16" s="46" t="n">
        <x:v>5</x:v>
      </x:c>
      <x:c r="AH16" s="46" t="n">
        <x:f>AVERAGE(H16:N16)</x:f>
        <x:v>5</x:v>
      </x:c>
      <x:c r="AI16" s="46" t="n">
        <x:f>AVERAGE(O16:T16)</x:f>
        <x:v>5</x:v>
      </x:c>
      <x:c r="AJ16" s="46" t="n">
        <x:f>AVERAGE(U16:Z16)</x:f>
        <x:v>5</x:v>
      </x:c>
      <x:c r="AK16" s="46" t="n">
        <x:f>AVERAGE(AA16:AG16)</x:f>
        <x:v>5</x:v>
      </x:c>
    </x:row>
    <x:row r="17">
      <x:c r="A17" s="44" t="str">
        <x:v>Digital-18</x:v>
      </x:c>
      <x:c r="B17" s="44" t="str">
        <x:v>digital</x:v>
      </x:c>
      <x:c r="C17" s="44" t="str">
        <x:v>45–54</x:v>
      </x:c>
      <x:c r="D17" s="44" t="str">
        <x:v>11–20 years</x:v>
      </x:c>
      <x:c r="E17" s="44" t="str">
        <x:v>Managerial</x:v>
      </x:c>
      <x:c r="F17" s="45" t="n">
        <x:v>0</x:v>
      </x:c>
      <x:c r="G17" s="45" t="n">
        <x:v>0</x:v>
      </x:c>
      <x:c r="H17" s="46" t="n">
        <x:v>4</x:v>
      </x:c>
      <x:c r="I17" s="46" t="n">
        <x:v>4</x:v>
      </x:c>
      <x:c r="J17" s="46" t="n">
        <x:v>4</x:v>
      </x:c>
      <x:c r="K17" s="46" t="n">
        <x:v>4</x:v>
      </x:c>
      <x:c r="L17" s="46" t="n">
        <x:v>4</x:v>
      </x:c>
      <x:c r="M17" s="46" t="n">
        <x:v>4</x:v>
      </x:c>
      <x:c r="N17" s="46" t="n">
        <x:v>4</x:v>
      </x:c>
      <x:c r="O17" s="46" t="n">
        <x:v>4</x:v>
      </x:c>
      <x:c r="P17" s="46" t="n">
        <x:v>4</x:v>
      </x:c>
      <x:c r="Q17" s="46" t="n">
        <x:v>4</x:v>
      </x:c>
      <x:c r="R17" s="46" t="n">
        <x:v>4</x:v>
      </x:c>
      <x:c r="S17" s="46" t="n">
        <x:v>4</x:v>
      </x:c>
      <x:c r="T17" s="46" t="n">
        <x:v>4</x:v>
      </x:c>
      <x:c r="U17" s="46" t="n">
        <x:v>5</x:v>
      </x:c>
      <x:c r="V17" s="46" t="n">
        <x:v>5</x:v>
      </x:c>
      <x:c r="W17" s="46" t="n">
        <x:v>5</x:v>
      </x:c>
      <x:c r="X17" s="46" t="n">
        <x:v>5</x:v>
      </x:c>
      <x:c r="Y17" s="46" t="n">
        <x:v>5</x:v>
      </x:c>
      <x:c r="Z17" s="46" t="n">
        <x:v>5</x:v>
      </x:c>
      <x:c r="AA17" s="46" t="n">
        <x:v>5</x:v>
      </x:c>
      <x:c r="AB17" s="46" t="n">
        <x:v>5</x:v>
      </x:c>
      <x:c r="AC17" s="46" t="n">
        <x:v>4</x:v>
      </x:c>
      <x:c r="AD17" s="46" t="n">
        <x:v>4</x:v>
      </x:c>
      <x:c r="AE17" s="46" t="n">
        <x:v>4</x:v>
      </x:c>
      <x:c r="AF17" s="46" t="n">
        <x:v>4</x:v>
      </x:c>
      <x:c r="AG17" s="46" t="n">
        <x:v>4</x:v>
      </x:c>
      <x:c r="AH17" s="46" t="n">
        <x:f>AVERAGE(H17:N17)</x:f>
        <x:v>4</x:v>
      </x:c>
      <x:c r="AI17" s="46" t="n">
        <x:f>AVERAGE(O17:T17)</x:f>
        <x:v>4</x:v>
      </x:c>
      <x:c r="AJ17" s="46" t="n">
        <x:f>AVERAGE(U17:Z17)</x:f>
        <x:v>5</x:v>
      </x:c>
      <x:c r="AK17" s="46" t="n">
        <x:f>AVERAGE(AA17:AG17)</x:f>
        <x:v>4.285714285714286</x:v>
      </x:c>
    </x:row>
    <x:row r="18">
      <x:c r="A18" s="44" t="str">
        <x:v>Digital-19</x:v>
      </x:c>
      <x:c r="B18" s="44" t="str">
        <x:v>digital</x:v>
      </x:c>
      <x:c r="C18" s="44" t="str">
        <x:v>25–34</x:v>
      </x:c>
      <x:c r="D18" s="44" t="str">
        <x:v>Below 5 years</x:v>
      </x:c>
      <x:c r="E18" s="44" t="str">
        <x:v>Officer</x:v>
      </x:c>
      <x:c r="F18" s="45" t="n">
        <x:v>0</x:v>
      </x:c>
      <x:c r="G18" s="45" t="n">
        <x:v>0</x:v>
      </x:c>
      <x:c r="H18" s="46" t="n">
        <x:v>4</x:v>
      </x:c>
      <x:c r="I18" s="46" t="n">
        <x:v>4</x:v>
      </x:c>
      <x:c r="J18" s="46" t="n">
        <x:v>4</x:v>
      </x:c>
      <x:c r="K18" s="46" t="n">
        <x:v>4</x:v>
      </x:c>
      <x:c r="L18" s="46" t="n">
        <x:v>4</x:v>
      </x:c>
      <x:c r="M18" s="46" t="n">
        <x:v>4</x:v>
      </x:c>
      <x:c r="N18" s="46" t="n">
        <x:v>4</x:v>
      </x:c>
      <x:c r="O18" s="46" t="n">
        <x:v>5</x:v>
      </x:c>
      <x:c r="P18" s="46" t="n">
        <x:v>5</x:v>
      </x:c>
      <x:c r="Q18" s="46" t="n">
        <x:v>4</x:v>
      </x:c>
      <x:c r="R18" s="46" t="n">
        <x:v>4</x:v>
      </x:c>
      <x:c r="S18" s="46" t="n">
        <x:v>4</x:v>
      </x:c>
      <x:c r="T18" s="46" t="n">
        <x:v>4</x:v>
      </x:c>
      <x:c r="U18" s="46" t="n">
        <x:v>3</x:v>
      </x:c>
      <x:c r="V18" s="46" t="n">
        <x:v>3</x:v>
      </x:c>
      <x:c r="W18" s="46" t="n">
        <x:v>3</x:v>
      </x:c>
      <x:c r="X18" s="46" t="n">
        <x:v>3</x:v>
      </x:c>
      <x:c r="Y18" s="46" t="n">
        <x:v>3</x:v>
      </x:c>
      <x:c r="Z18" s="46" t="n">
        <x:v>3</x:v>
      </x:c>
      <x:c r="AA18" s="46" t="n">
        <x:v>4</x:v>
      </x:c>
      <x:c r="AB18" s="46" t="n">
        <x:v>5</x:v>
      </x:c>
      <x:c r="AC18" s="46" t="n">
        <x:v>5</x:v>
      </x:c>
      <x:c r="AD18" s="46" t="n">
        <x:v>5</x:v>
      </x:c>
      <x:c r="AE18" s="46" t="n">
        <x:v>5</x:v>
      </x:c>
      <x:c r="AF18" s="46" t="n">
        <x:v>4</x:v>
      </x:c>
      <x:c r="AG18" s="46" t="n">
        <x:v>5</x:v>
      </x:c>
      <x:c r="AH18" s="46" t="n">
        <x:f>AVERAGE(H18:N18)</x:f>
        <x:v>4</x:v>
      </x:c>
      <x:c r="AI18" s="46" t="n">
        <x:f>AVERAGE(O18:T18)</x:f>
        <x:v>4.333333333333333</x:v>
      </x:c>
      <x:c r="AJ18" s="46" t="n">
        <x:f>AVERAGE(U18:Z18)</x:f>
        <x:v>3</x:v>
      </x:c>
      <x:c r="AK18" s="46" t="n">
        <x:f>AVERAGE(AA18:AG18)</x:f>
        <x:v>4.714285714285714</x:v>
      </x:c>
    </x:row>
    <x:row r="19">
      <x:c r="A19" s="44" t="str">
        <x:v>Digital-20</x:v>
      </x:c>
      <x:c r="B19" s="44" t="str">
        <x:v>digital</x:v>
      </x:c>
      <x:c r="C19" s="44" t="str">
        <x:v>45–54</x:v>
      </x:c>
      <x:c r="D19" s="44" t="str">
        <x:v>11–20 years</x:v>
      </x:c>
      <x:c r="E19" s="44" t="str">
        <x:v>Managerial</x:v>
      </x:c>
      <x:c r="F19" s="45" t="n">
        <x:v>0</x:v>
      </x:c>
      <x:c r="G19" s="45" t="n">
        <x:v>0</x:v>
      </x:c>
      <x:c r="H19" s="46" t="n">
        <x:v>4</x:v>
      </x:c>
      <x:c r="I19" s="46" t="n">
        <x:v>4</x:v>
      </x:c>
      <x:c r="J19" s="46" t="n">
        <x:v>4</x:v>
      </x:c>
      <x:c r="K19" s="46" t="n">
        <x:v>4</x:v>
      </x:c>
      <x:c r="L19" s="46" t="n">
        <x:v>4</x:v>
      </x:c>
      <x:c r="M19" s="46" t="n">
        <x:v>4</x:v>
      </x:c>
      <x:c r="N19" s="46" t="n">
        <x:v>4</x:v>
      </x:c>
      <x:c r="O19" s="46" t="n">
        <x:v>4</x:v>
      </x:c>
      <x:c r="P19" s="46" t="n">
        <x:v>4</x:v>
      </x:c>
      <x:c r="Q19" s="46" t="n">
        <x:v>4</x:v>
      </x:c>
      <x:c r="R19" s="46" t="n">
        <x:v>4</x:v>
      </x:c>
      <x:c r="S19" s="46" t="n">
        <x:v>4</x:v>
      </x:c>
      <x:c r="T19" s="46" t="n">
        <x:v>4</x:v>
      </x:c>
      <x:c r="U19" s="46" t="n">
        <x:v>5</x:v>
      </x:c>
      <x:c r="V19" s="46" t="n">
        <x:v>5</x:v>
      </x:c>
      <x:c r="W19" s="46" t="n">
        <x:v>5</x:v>
      </x:c>
      <x:c r="X19" s="46" t="n">
        <x:v>5</x:v>
      </x:c>
      <x:c r="Y19" s="46" t="n">
        <x:v>5</x:v>
      </x:c>
      <x:c r="Z19" s="46" t="n">
        <x:v>5</x:v>
      </x:c>
      <x:c r="AA19" s="46" t="n">
        <x:v>4</x:v>
      </x:c>
      <x:c r="AB19" s="46" t="n">
        <x:v>4</x:v>
      </x:c>
      <x:c r="AC19" s="46" t="n">
        <x:v>4</x:v>
      </x:c>
      <x:c r="AD19" s="46" t="n">
        <x:v>4</x:v>
      </x:c>
      <x:c r="AE19" s="46" t="n">
        <x:v>4</x:v>
      </x:c>
      <x:c r="AF19" s="46" t="n">
        <x:v>4</x:v>
      </x:c>
      <x:c r="AG19" s="46" t="n">
        <x:v>4</x:v>
      </x:c>
      <x:c r="AH19" s="46" t="n">
        <x:f>AVERAGE(H19:N19)</x:f>
        <x:v>4</x:v>
      </x:c>
      <x:c r="AI19" s="46" t="n">
        <x:f>AVERAGE(O19:T19)</x:f>
        <x:v>4</x:v>
      </x:c>
      <x:c r="AJ19" s="46" t="n">
        <x:f>AVERAGE(U19:Z19)</x:f>
        <x:v>5</x:v>
      </x:c>
      <x:c r="AK19" s="46" t="n">
        <x:f>AVERAGE(AA19:AG19)</x:f>
        <x:v>4</x:v>
      </x:c>
    </x:row>
    <x:row r="20">
      <x:c r="A20" s="44" t="str">
        <x:v>Digital-21</x:v>
      </x:c>
      <x:c r="B20" s="44" t="str">
        <x:v>digital</x:v>
      </x:c>
      <x:c r="C20" s="44" t="str">
        <x:v>25–34</x:v>
      </x:c>
      <x:c r="D20" s="44" t="str">
        <x:v>5–10 years</x:v>
      </x:c>
      <x:c r="E20" s="44" t="str">
        <x:v>Officer</x:v>
      </x:c>
      <x:c r="F20" s="45" t="n">
        <x:v>0</x:v>
      </x:c>
      <x:c r="G20" s="45" t="n">
        <x:v>0</x:v>
      </x:c>
      <x:c r="H20" s="46" t="n">
        <x:v>4</x:v>
      </x:c>
      <x:c r="I20" s="46" t="n">
        <x:v>4</x:v>
      </x:c>
      <x:c r="J20" s="46" t="n">
        <x:v>4</x:v>
      </x:c>
      <x:c r="K20" s="46" t="n">
        <x:v>4</x:v>
      </x:c>
      <x:c r="L20" s="46" t="n">
        <x:v>4</x:v>
      </x:c>
      <x:c r="M20" s="46" t="n">
        <x:v>4</x:v>
      </x:c>
      <x:c r="N20" s="46" t="n">
        <x:v>4</x:v>
      </x:c>
      <x:c r="O20" s="46" t="n">
        <x:v>4</x:v>
      </x:c>
      <x:c r="P20" s="46" t="n">
        <x:v>4</x:v>
      </x:c>
      <x:c r="Q20" s="46" t="n">
        <x:v>4</x:v>
      </x:c>
      <x:c r="R20" s="46" t="n">
        <x:v>4</x:v>
      </x:c>
      <x:c r="S20" s="46" t="n">
        <x:v>4</x:v>
      </x:c>
      <x:c r="T20" s="46" t="n">
        <x:v>4</x:v>
      </x:c>
      <x:c r="U20" s="46" t="n">
        <x:v>4</x:v>
      </x:c>
      <x:c r="V20" s="46" t="n">
        <x:v>4</x:v>
      </x:c>
      <x:c r="W20" s="46" t="n">
        <x:v>4</x:v>
      </x:c>
      <x:c r="X20" s="46" t="n">
        <x:v>4</x:v>
      </x:c>
      <x:c r="Y20" s="46" t="n">
        <x:v>4</x:v>
      </x:c>
      <x:c r="Z20" s="46" t="n">
        <x:v>4</x:v>
      </x:c>
      <x:c r="AA20" s="46" t="n">
        <x:v>1</x:v>
      </x:c>
      <x:c r="AB20" s="46" t="n">
        <x:v>1</x:v>
      </x:c>
      <x:c r="AC20" s="46" t="n">
        <x:v>1</x:v>
      </x:c>
      <x:c r="AD20" s="46" t="n">
        <x:v>1</x:v>
      </x:c>
      <x:c r="AE20" s="46" t="n">
        <x:v>1</x:v>
      </x:c>
      <x:c r="AF20" s="46" t="n">
        <x:v>1</x:v>
      </x:c>
      <x:c r="AG20" s="46" t="n">
        <x:v>1</x:v>
      </x:c>
      <x:c r="AH20" s="46" t="n">
        <x:f>AVERAGE(H20:N20)</x:f>
        <x:v>4</x:v>
      </x:c>
      <x:c r="AI20" s="46" t="n">
        <x:f>AVERAGE(O20:T20)</x:f>
        <x:v>4</x:v>
      </x:c>
      <x:c r="AJ20" s="46" t="n">
        <x:f>AVERAGE(U20:Z20)</x:f>
        <x:v>4</x:v>
      </x:c>
      <x:c r="AK20" s="46" t="n">
        <x:f>AVERAGE(AA20:AG20)</x:f>
        <x:v>1</x:v>
      </x:c>
    </x:row>
    <x:row r="21">
      <x:c r="A21" s="44" t="str">
        <x:v>Digital-22</x:v>
      </x:c>
      <x:c r="B21" s="44" t="str">
        <x:v>digital</x:v>
      </x:c>
      <x:c r="C21" s="44" t="str">
        <x:v>45–54</x:v>
      </x:c>
      <x:c r="D21" s="44" t="str">
        <x:v>Above 20 years</x:v>
      </x:c>
      <x:c r="E21" s="44" t="str">
        <x:v>Managerial</x:v>
      </x:c>
      <x:c r="F21" s="45" t="n">
        <x:v>0</x:v>
      </x:c>
      <x:c r="G21" s="45" t="n">
        <x:v>0</x:v>
      </x:c>
      <x:c r="H21" s="46" t="n">
        <x:v>1</x:v>
      </x:c>
      <x:c r="I21" s="46" t="n">
        <x:v>1</x:v>
      </x:c>
      <x:c r="J21" s="46" t="n">
        <x:v>1</x:v>
      </x:c>
      <x:c r="K21" s="46" t="n">
        <x:v>1</x:v>
      </x:c>
      <x:c r="L21" s="46" t="n">
        <x:v>1</x:v>
      </x:c>
      <x:c r="M21" s="46" t="n">
        <x:v>1</x:v>
      </x:c>
      <x:c r="N21" s="46" t="n">
        <x:v>1</x:v>
      </x:c>
      <x:c r="O21" s="46" t="n">
        <x:v>1</x:v>
      </x:c>
      <x:c r="P21" s="46" t="n">
        <x:v>1</x:v>
      </x:c>
      <x:c r="Q21" s="46" t="n">
        <x:v>1</x:v>
      </x:c>
      <x:c r="R21" s="46" t="n">
        <x:v>1</x:v>
      </x:c>
      <x:c r="S21" s="46" t="n">
        <x:v>1</x:v>
      </x:c>
      <x:c r="T21" s="46" t="n">
        <x:v>1</x:v>
      </x:c>
      <x:c r="U21" s="46" t="n">
        <x:v>1</x:v>
      </x:c>
      <x:c r="V21" s="46" t="n">
        <x:v>1</x:v>
      </x:c>
      <x:c r="W21" s="46" t="n">
        <x:v>1</x:v>
      </x:c>
      <x:c r="X21" s="46" t="n">
        <x:v>1</x:v>
      </x:c>
      <x:c r="Y21" s="46" t="n">
        <x:v>1</x:v>
      </x:c>
      <x:c r="Z21" s="46" t="n">
        <x:v>1</x:v>
      </x:c>
      <x:c r="AA21" s="46" t="n">
        <x:v>1</x:v>
      </x:c>
      <x:c r="AB21" s="46" t="n">
        <x:v>1</x:v>
      </x:c>
      <x:c r="AC21" s="46" t="n">
        <x:v>1</x:v>
      </x:c>
      <x:c r="AD21" s="46" t="n">
        <x:v>1</x:v>
      </x:c>
      <x:c r="AE21" s="46" t="n">
        <x:v>1</x:v>
      </x:c>
      <x:c r="AF21" s="46" t="n">
        <x:v>1</x:v>
      </x:c>
      <x:c r="AG21" s="46" t="n">
        <x:v>1</x:v>
      </x:c>
      <x:c r="AH21" s="46" t="n">
        <x:f>AVERAGE(H21:N21)</x:f>
        <x:v>1</x:v>
      </x:c>
      <x:c r="AI21" s="46" t="n">
        <x:f>AVERAGE(O21:T21)</x:f>
        <x:v>1</x:v>
      </x:c>
      <x:c r="AJ21" s="46" t="n">
        <x:f>AVERAGE(U21:Z21)</x:f>
        <x:v>1</x:v>
      </x:c>
      <x:c r="AK21" s="46" t="n">
        <x:f>AVERAGE(AA21:AG21)</x:f>
        <x:v>1</x:v>
      </x:c>
    </x:row>
    <x:row r="22">
      <x:c r="A22" s="44" t="str">
        <x:v>Digital-23</x:v>
      </x:c>
      <x:c r="B22" s="44" t="str">
        <x:v>digital</x:v>
      </x:c>
      <x:c r="C22" s="44" t="str">
        <x:v>35–44</x:v>
      </x:c>
      <x:c r="D22" s="44" t="str">
        <x:v>11–20 years</x:v>
      </x:c>
      <x:c r="E22" s="44" t="str">
        <x:v>Officer</x:v>
      </x:c>
      <x:c r="F22" s="45" t="n">
        <x:v>0</x:v>
      </x:c>
      <x:c r="G22" s="45" t="n">
        <x:v>0</x:v>
      </x:c>
      <x:c r="H22" s="46" t="n">
        <x:v>1</x:v>
      </x:c>
      <x:c r="I22" s="46" t="n">
        <x:v>1</x:v>
      </x:c>
      <x:c r="J22" s="46" t="n">
        <x:v>1</x:v>
      </x:c>
      <x:c r="K22" s="46" t="n">
        <x:v>1</x:v>
      </x:c>
      <x:c r="L22" s="46" t="n">
        <x:v>1</x:v>
      </x:c>
      <x:c r="M22" s="46" t="n">
        <x:v>1</x:v>
      </x:c>
      <x:c r="N22" s="46" t="n">
        <x:v>1</x:v>
      </x:c>
      <x:c r="O22" s="46" t="n">
        <x:v>1</x:v>
      </x:c>
      <x:c r="P22" s="46" t="n">
        <x:v>1</x:v>
      </x:c>
      <x:c r="Q22" s="46" t="n">
        <x:v>1</x:v>
      </x:c>
      <x:c r="R22" s="46" t="n">
        <x:v>1</x:v>
      </x:c>
      <x:c r="S22" s="46" t="n">
        <x:v>1</x:v>
      </x:c>
      <x:c r="T22" s="46" t="n">
        <x:v>1</x:v>
      </x:c>
      <x:c r="U22" s="46" t="n">
        <x:v>1</x:v>
      </x:c>
      <x:c r="V22" s="46" t="n">
        <x:v>1</x:v>
      </x:c>
      <x:c r="W22" s="46" t="n">
        <x:v>1</x:v>
      </x:c>
      <x:c r="X22" s="46" t="n">
        <x:v>3</x:v>
      </x:c>
      <x:c r="Y22" s="46" t="n">
        <x:v>1</x:v>
      </x:c>
      <x:c r="Z22" s="46" t="n">
        <x:v>1</x:v>
      </x:c>
      <x:c r="AA22" s="46" t="n">
        <x:v>1</x:v>
      </x:c>
      <x:c r="AB22" s="46" t="n">
        <x:v>3</x:v>
      </x:c>
      <x:c r="AC22" s="46" t="n">
        <x:v>3</x:v>
      </x:c>
      <x:c r="AD22" s="46" t="n">
        <x:v>1</x:v>
      </x:c>
      <x:c r="AE22" s="46" t="n">
        <x:v>3</x:v>
      </x:c>
      <x:c r="AF22" s="46" t="n">
        <x:v>1</x:v>
      </x:c>
      <x:c r="AG22" s="46" t="n">
        <x:v>3</x:v>
      </x:c>
      <x:c r="AH22" s="46" t="n">
        <x:f>AVERAGE(H22:N22)</x:f>
        <x:v>1</x:v>
      </x:c>
      <x:c r="AI22" s="46" t="n">
        <x:f>AVERAGE(O22:T22)</x:f>
        <x:v>1</x:v>
      </x:c>
      <x:c r="AJ22" s="46" t="n">
        <x:f>AVERAGE(U22:Z22)</x:f>
        <x:v>1.3333333333333333</x:v>
      </x:c>
      <x:c r="AK22" s="46" t="n">
        <x:f>AVERAGE(AA22:AG22)</x:f>
        <x:v>2.142857142857143</x:v>
      </x:c>
    </x:row>
    <x:row r="23">
      <x:c r="A23" s="44" t="str">
        <x:v>Digital-24</x:v>
      </x:c>
      <x:c r="B23" s="44" t="str">
        <x:v>digital</x:v>
      </x:c>
      <x:c r="C23" s="44" t="str">
        <x:v>45–54</x:v>
      </x:c>
      <x:c r="D23" s="44" t="str">
        <x:v>Above 20 years</x:v>
      </x:c>
      <x:c r="E23" s="44" t="str">
        <x:v>Managerial</x:v>
      </x:c>
      <x:c r="F23" s="45" t="n">
        <x:v>0</x:v>
      </x:c>
      <x:c r="G23" s="45" t="n">
        <x:v>0</x:v>
      </x:c>
      <x:c r="H23" s="46" t="n">
        <x:v>5</x:v>
      </x:c>
      <x:c r="I23" s="46" t="n">
        <x:v>4</x:v>
      </x:c>
      <x:c r="J23" s="46" t="n">
        <x:v>5</x:v>
      </x:c>
      <x:c r="K23" s="46" t="n">
        <x:v>5</x:v>
      </x:c>
      <x:c r="L23" s="46" t="n">
        <x:v>5</x:v>
      </x:c>
      <x:c r="M23" s="46" t="n">
        <x:v>4</x:v>
      </x:c>
      <x:c r="N23" s="46" t="n">
        <x:v>4</x:v>
      </x:c>
      <x:c r="O23" s="46" t="n">
        <x:v>5</x:v>
      </x:c>
      <x:c r="P23" s="46" t="n">
        <x:v>5</x:v>
      </x:c>
      <x:c r="Q23" s="46" t="n">
        <x:v>5</x:v>
      </x:c>
      <x:c r="R23" s="46" t="n">
        <x:v>4</x:v>
      </x:c>
      <x:c r="S23" s="46" t="n">
        <x:v>4</x:v>
      </x:c>
      <x:c r="T23" s="46" t="n">
        <x:v>4</x:v>
      </x:c>
      <x:c r="U23" s="46" t="n">
        <x:v>4</x:v>
      </x:c>
      <x:c r="V23" s="46" t="n">
        <x:v>5</x:v>
      </x:c>
      <x:c r="W23" s="46" t="n">
        <x:v>5</x:v>
      </x:c>
      <x:c r="X23" s="46" t="n">
        <x:v>5</x:v>
      </x:c>
      <x:c r="Y23" s="46" t="n">
        <x:v>5</x:v>
      </x:c>
      <x:c r="Z23" s="46" t="n">
        <x:v>5</x:v>
      </x:c>
      <x:c r="AA23" s="46" t="n">
        <x:v>5</x:v>
      </x:c>
      <x:c r="AB23" s="46" t="n">
        <x:v>5</x:v>
      </x:c>
      <x:c r="AC23" s="46" t="n">
        <x:v>5</x:v>
      </x:c>
      <x:c r="AD23" s="46" t="n">
        <x:v>5</x:v>
      </x:c>
      <x:c r="AE23" s="46" t="n">
        <x:v>5</x:v>
      </x:c>
      <x:c r="AF23" s="46" t="n">
        <x:v>5</x:v>
      </x:c>
      <x:c r="AG23" s="46" t="n">
        <x:v>5</x:v>
      </x:c>
      <x:c r="AH23" s="46" t="n">
        <x:f>AVERAGE(H23:N23)</x:f>
        <x:v>4.571428571428571</x:v>
      </x:c>
      <x:c r="AI23" s="46" t="n">
        <x:f>AVERAGE(O23:T23)</x:f>
        <x:v>4.5</x:v>
      </x:c>
      <x:c r="AJ23" s="46" t="n">
        <x:f>AVERAGE(U23:Z23)</x:f>
        <x:v>4.833333333333333</x:v>
      </x:c>
      <x:c r="AK23" s="46" t="n">
        <x:f>AVERAGE(AA23:AG23)</x:f>
        <x:v>5</x:v>
      </x:c>
    </x:row>
    <x:row r="24">
      <x:c r="A24" s="44" t="str">
        <x:v>Digital-25</x:v>
      </x:c>
      <x:c r="B24" s="44" t="str">
        <x:v>digital</x:v>
      </x:c>
      <x:c r="C24" s="44" t="str">
        <x:v>35–44</x:v>
      </x:c>
      <x:c r="D24" s="44" t="str">
        <x:v>11–20 years</x:v>
      </x:c>
      <x:c r="E24" s="44" t="str">
        <x:v>Officer</x:v>
      </x:c>
      <x:c r="F24" s="45" t="n">
        <x:v>0</x:v>
      </x:c>
      <x:c r="G24" s="45" t="n">
        <x:v>0</x:v>
      </x:c>
      <x:c r="H24" s="46" t="n">
        <x:v>5</x:v>
      </x:c>
      <x:c r="I24" s="46" t="n">
        <x:v>5</x:v>
      </x:c>
      <x:c r="J24" s="46" t="n">
        <x:v>5</x:v>
      </x:c>
      <x:c r="K24" s="46" t="n">
        <x:v>5</x:v>
      </x:c>
      <x:c r="L24" s="46" t="n">
        <x:v>5</x:v>
      </x:c>
      <x:c r="M24" s="46" t="n">
        <x:v>5</x:v>
      </x:c>
      <x:c r="N24" s="46" t="n">
        <x:v>5</x:v>
      </x:c>
      <x:c r="O24" s="46" t="n">
        <x:v>4</x:v>
      </x:c>
      <x:c r="P24" s="46" t="n">
        <x:v>4</x:v>
      </x:c>
      <x:c r="Q24" s="46" t="n">
        <x:v>4</x:v>
      </x:c>
      <x:c r="R24" s="46" t="n">
        <x:v>4</x:v>
      </x:c>
      <x:c r="S24" s="46" t="n">
        <x:v>4</x:v>
      </x:c>
      <x:c r="T24" s="46" t="n">
        <x:v>4</x:v>
      </x:c>
      <x:c r="U24" s="46" t="n">
        <x:v>5</x:v>
      </x:c>
      <x:c r="V24" s="46" t="n">
        <x:v>5</x:v>
      </x:c>
      <x:c r="W24" s="46" t="n">
        <x:v>5</x:v>
      </x:c>
      <x:c r="X24" s="46" t="n">
        <x:v>5</x:v>
      </x:c>
      <x:c r="Y24" s="46" t="n">
        <x:v>5</x:v>
      </x:c>
      <x:c r="Z24" s="46" t="n">
        <x:v>5</x:v>
      </x:c>
      <x:c r="AA24" s="46" t="n">
        <x:v>4</x:v>
      </x:c>
      <x:c r="AB24" s="46" t="n">
        <x:v>4</x:v>
      </x:c>
      <x:c r="AC24" s="46" t="n">
        <x:v>4</x:v>
      </x:c>
      <x:c r="AD24" s="46" t="n">
        <x:v>4</x:v>
      </x:c>
      <x:c r="AE24" s="46" t="n">
        <x:v>4</x:v>
      </x:c>
      <x:c r="AF24" s="46" t="n">
        <x:v>4</x:v>
      </x:c>
      <x:c r="AG24" s="46" t="n">
        <x:v>5</x:v>
      </x:c>
      <x:c r="AH24" s="46" t="n">
        <x:f>AVERAGE(H24:N24)</x:f>
        <x:v>5</x:v>
      </x:c>
      <x:c r="AI24" s="46" t="n">
        <x:f>AVERAGE(O24:T24)</x:f>
        <x:v>4</x:v>
      </x:c>
      <x:c r="AJ24" s="46" t="n">
        <x:f>AVERAGE(U24:Z24)</x:f>
        <x:v>5</x:v>
      </x:c>
      <x:c r="AK24" s="46" t="n">
        <x:f>AVERAGE(AA24:AG24)</x:f>
        <x:v>4.142857142857143</x:v>
      </x:c>
    </x:row>
    <x:row r="25">
      <x:c r="A25" s="44" t="str">
        <x:v>Digital-26</x:v>
      </x:c>
      <x:c r="B25" s="44" t="str">
        <x:v>digital</x:v>
      </x:c>
      <x:c r="C25" s="44" t="str">
        <x:v>35–44</x:v>
      </x:c>
      <x:c r="D25" s="44" t="str">
        <x:v>11–20 years</x:v>
      </x:c>
      <x:c r="E25" s="44" t="str">
        <x:v>Managerial</x:v>
      </x:c>
      <x:c r="F25" s="45" t="n">
        <x:v>0</x:v>
      </x:c>
      <x:c r="G25" s="45" t="n">
        <x:v>0</x:v>
      </x:c>
      <x:c r="H25" s="46" t="n">
        <x:v>4</x:v>
      </x:c>
      <x:c r="I25" s="46" t="n">
        <x:v>4</x:v>
      </x:c>
      <x:c r="J25" s="46" t="n">
        <x:v>4</x:v>
      </x:c>
      <x:c r="K25" s="46" t="n">
        <x:v>4</x:v>
      </x:c>
      <x:c r="L25" s="46" t="n">
        <x:v>4</x:v>
      </x:c>
      <x:c r="M25" s="46" t="n">
        <x:v>4</x:v>
      </x:c>
      <x:c r="N25" s="46" t="n">
        <x:v>4</x:v>
      </x:c>
      <x:c r="O25" s="46" t="n">
        <x:v>4</x:v>
      </x:c>
      <x:c r="P25" s="46" t="n">
        <x:v>4</x:v>
      </x:c>
      <x:c r="Q25" s="46" t="n">
        <x:v>4</x:v>
      </x:c>
      <x:c r="R25" s="46" t="n">
        <x:v>4</x:v>
      </x:c>
      <x:c r="S25" s="46" t="n">
        <x:v>4</x:v>
      </x:c>
      <x:c r="T25" s="46" t="n">
        <x:v>4</x:v>
      </x:c>
      <x:c r="U25" s="46" t="n">
        <x:v>5</x:v>
      </x:c>
      <x:c r="V25" s="46" t="n">
        <x:v>5</x:v>
      </x:c>
      <x:c r="W25" s="46" t="n">
        <x:v>5</x:v>
      </x:c>
      <x:c r="X25" s="46" t="n">
        <x:v>5</x:v>
      </x:c>
      <x:c r="Y25" s="46" t="n">
        <x:v>5</x:v>
      </x:c>
      <x:c r="Z25" s="46" t="n">
        <x:v>5</x:v>
      </x:c>
      <x:c r="AA25" s="46" t="n">
        <x:v>5</x:v>
      </x:c>
      <x:c r="AB25" s="46" t="n">
        <x:v>4</x:v>
      </x:c>
      <x:c r="AC25" s="46" t="n">
        <x:v>4</x:v>
      </x:c>
      <x:c r="AD25" s="46" t="n">
        <x:v>5</x:v>
      </x:c>
      <x:c r="AE25" s="46" t="n">
        <x:v>4</x:v>
      </x:c>
      <x:c r="AF25" s="46" t="n">
        <x:v>4</x:v>
      </x:c>
      <x:c r="AG25" s="46" t="n">
        <x:v>4</x:v>
      </x:c>
      <x:c r="AH25" s="46" t="n">
        <x:f>AVERAGE(H25:N25)</x:f>
        <x:v>4</x:v>
      </x:c>
      <x:c r="AI25" s="46" t="n">
        <x:f>AVERAGE(O25:T25)</x:f>
        <x:v>4</x:v>
      </x:c>
      <x:c r="AJ25" s="46" t="n">
        <x:f>AVERAGE(U25:Z25)</x:f>
        <x:v>5</x:v>
      </x:c>
      <x:c r="AK25" s="46" t="n">
        <x:f>AVERAGE(AA25:AG25)</x:f>
        <x:v>4.285714285714286</x:v>
      </x:c>
    </x:row>
    <x:row r="26">
      <x:c r="A26" s="44" t="str">
        <x:v>Digital-29</x:v>
      </x:c>
      <x:c r="B26" s="44" t="str">
        <x:v>digital</x:v>
      </x:c>
      <x:c r="C26" s="44" t="str">
        <x:v>35–44</x:v>
      </x:c>
      <x:c r="D26" s="44" t="str">
        <x:v>11–20 years</x:v>
      </x:c>
      <x:c r="E26" s="44" t="str">
        <x:v>Officer</x:v>
      </x:c>
      <x:c r="F26" s="45" t="n">
        <x:v>0</x:v>
      </x:c>
      <x:c r="G26" s="45" t="n">
        <x:v>0</x:v>
      </x:c>
      <x:c r="H26" s="46" t="n">
        <x:v>4</x:v>
      </x:c>
      <x:c r="I26" s="46" t="n">
        <x:v>4</x:v>
      </x:c>
      <x:c r="J26" s="46" t="n">
        <x:v>5</x:v>
      </x:c>
      <x:c r="K26" s="46" t="n">
        <x:v>4</x:v>
      </x:c>
      <x:c r="L26" s="46" t="n">
        <x:v>4</x:v>
      </x:c>
      <x:c r="M26" s="46" t="n">
        <x:v>4</x:v>
      </x:c>
      <x:c r="N26" s="46" t="n">
        <x:v>4</x:v>
      </x:c>
      <x:c r="O26" s="46" t="n">
        <x:v>4</x:v>
      </x:c>
      <x:c r="P26" s="46" t="n">
        <x:v>4</x:v>
      </x:c>
      <x:c r="Q26" s="46" t="n">
        <x:v>4</x:v>
      </x:c>
      <x:c r="R26" s="46" t="n">
        <x:v>4</x:v>
      </x:c>
      <x:c r="S26" s="46" t="n">
        <x:v>4</x:v>
      </x:c>
      <x:c r="T26" s="46" t="n">
        <x:v>4</x:v>
      </x:c>
      <x:c r="U26" s="46" t="n">
        <x:v>5</x:v>
      </x:c>
      <x:c r="V26" s="46" t="n">
        <x:v>5</x:v>
      </x:c>
      <x:c r="W26" s="46" t="n">
        <x:v>5</x:v>
      </x:c>
      <x:c r="X26" s="46" t="n">
        <x:v>5</x:v>
      </x:c>
      <x:c r="Y26" s="46" t="n">
        <x:v>5</x:v>
      </x:c>
      <x:c r="Z26" s="46" t="n">
        <x:v>5</x:v>
      </x:c>
      <x:c r="AA26" s="46" t="n">
        <x:v>5</x:v>
      </x:c>
      <x:c r="AB26" s="46" t="n">
        <x:v>5</x:v>
      </x:c>
      <x:c r="AC26" s="46" t="n">
        <x:v>5</x:v>
      </x:c>
      <x:c r="AD26" s="46" t="n">
        <x:v>3</x:v>
      </x:c>
      <x:c r="AE26" s="46" t="n">
        <x:v>3</x:v>
      </x:c>
      <x:c r="AF26" s="46" t="n">
        <x:v>4</x:v>
      </x:c>
      <x:c r="AG26" s="46" t="n">
        <x:v>5</x:v>
      </x:c>
      <x:c r="AH26" s="46" t="n">
        <x:f>AVERAGE(H26:N26)</x:f>
        <x:v>4.142857142857143</x:v>
      </x:c>
      <x:c r="AI26" s="46" t="n">
        <x:f>AVERAGE(O26:T26)</x:f>
        <x:v>4</x:v>
      </x:c>
      <x:c r="AJ26" s="46" t="n">
        <x:f>AVERAGE(U26:Z26)</x:f>
        <x:v>5</x:v>
      </x:c>
      <x:c r="AK26" s="46" t="n">
        <x:f>AVERAGE(AA26:AG26)</x:f>
        <x:v>4.285714285714286</x:v>
      </x:c>
    </x:row>
    <x:row r="27">
      <x:c r="A27" s="44" t="str">
        <x:v>Digital-31</x:v>
      </x:c>
      <x:c r="B27" s="44" t="str">
        <x:v>digital</x:v>
      </x:c>
      <x:c r="C27" s="44" t="str">
        <x:v>35–44</x:v>
      </x:c>
      <x:c r="D27" s="44" t="str">
        <x:v>11–20 years</x:v>
      </x:c>
      <x:c r="E27" s="44" t="str">
        <x:v>Officer</x:v>
      </x:c>
      <x:c r="F27" s="45" t="n">
        <x:v>0</x:v>
      </x:c>
      <x:c r="G27" s="45" t="n">
        <x:v>0</x:v>
      </x:c>
      <x:c r="H27" s="46" t="n">
        <x:v>3</x:v>
      </x:c>
      <x:c r="I27" s="46" t="n">
        <x:v>3</x:v>
      </x:c>
      <x:c r="J27" s="46" t="n">
        <x:v>4</x:v>
      </x:c>
      <x:c r="K27" s="46" t="n">
        <x:v>4</x:v>
      </x:c>
      <x:c r="L27" s="46" t="n">
        <x:v>4</x:v>
      </x:c>
      <x:c r="M27" s="46" t="n">
        <x:v>4</x:v>
      </x:c>
      <x:c r="N27" s="46" t="n">
        <x:v>4</x:v>
      </x:c>
      <x:c r="O27" s="46" t="n">
        <x:v>4</x:v>
      </x:c>
      <x:c r="P27" s="46" t="n">
        <x:v>4</x:v>
      </x:c>
      <x:c r="Q27" s="46" t="n">
        <x:v>4</x:v>
      </x:c>
      <x:c r="R27" s="46" t="n">
        <x:v>4</x:v>
      </x:c>
      <x:c r="S27" s="46" t="n">
        <x:v>4</x:v>
      </x:c>
      <x:c r="T27" s="46" t="n">
        <x:v>4</x:v>
      </x:c>
      <x:c r="U27" s="46" t="n">
        <x:v>5</x:v>
      </x:c>
      <x:c r="V27" s="46" t="n">
        <x:v>5</x:v>
      </x:c>
      <x:c r="W27" s="46" t="n">
        <x:v>5</x:v>
      </x:c>
      <x:c r="X27" s="46" t="n">
        <x:v>4</x:v>
      </x:c>
      <x:c r="Y27" s="46" t="n">
        <x:v>4</x:v>
      </x:c>
      <x:c r="Z27" s="46" t="n">
        <x:v>5</x:v>
      </x:c>
      <x:c r="AA27" s="46" t="n">
        <x:v>4</x:v>
      </x:c>
      <x:c r="AB27" s="46" t="n">
        <x:v>4</x:v>
      </x:c>
      <x:c r="AC27" s="46" t="n">
        <x:v>4</x:v>
      </x:c>
      <x:c r="AD27" s="46" t="n">
        <x:v>4</x:v>
      </x:c>
      <x:c r="AE27" s="46" t="n">
        <x:v>4</x:v>
      </x:c>
      <x:c r="AF27" s="46" t="n">
        <x:v>4</x:v>
      </x:c>
      <x:c r="AG27" s="46" t="n">
        <x:v>4</x:v>
      </x:c>
      <x:c r="AH27" s="46" t="n">
        <x:f>AVERAGE(H27:N27)</x:f>
        <x:v>3.7142857142857144</x:v>
      </x:c>
      <x:c r="AI27" s="46" t="n">
        <x:f>AVERAGE(O27:T27)</x:f>
        <x:v>4</x:v>
      </x:c>
      <x:c r="AJ27" s="46" t="n">
        <x:f>AVERAGE(U27:Z27)</x:f>
        <x:v>4.666666666666667</x:v>
      </x:c>
      <x:c r="AK27" s="46" t="n">
        <x:f>AVERAGE(AA27:AG27)</x:f>
        <x:v>4</x:v>
      </x:c>
    </x:row>
    <x:row r="28">
      <x:c r="A28" s="44" t="str">
        <x:v>Digital-32</x:v>
      </x:c>
      <x:c r="B28" s="44" t="str">
        <x:v>digital</x:v>
      </x:c>
      <x:c r="C28" s="44" t="str">
        <x:v>25–34</x:v>
      </x:c>
      <x:c r="D28" s="44" t="str">
        <x:v>11–20 years</x:v>
      </x:c>
      <x:c r="E28" s="44" t="str">
        <x:v>Managerial</x:v>
      </x:c>
      <x:c r="F28" s="45" t="n">
        <x:v>0</x:v>
      </x:c>
      <x:c r="G28" s="45" t="n">
        <x:v>0</x:v>
      </x:c>
      <x:c r="H28" s="46" t="n">
        <x:v>4</x:v>
      </x:c>
      <x:c r="I28" s="46" t="n">
        <x:v>4</x:v>
      </x:c>
      <x:c r="J28" s="46" t="n">
        <x:v>4</x:v>
      </x:c>
      <x:c r="K28" s="46" t="n">
        <x:v>4</x:v>
      </x:c>
      <x:c r="L28" s="46" t="n">
        <x:v>4</x:v>
      </x:c>
      <x:c r="M28" s="46" t="n">
        <x:v>4</x:v>
      </x:c>
      <x:c r="N28" s="46" t="n">
        <x:v>4</x:v>
      </x:c>
      <x:c r="O28" s="46" t="n">
        <x:v>4</x:v>
      </x:c>
      <x:c r="P28" s="46" t="n">
        <x:v>5</x:v>
      </x:c>
      <x:c r="Q28" s="46" t="n">
        <x:v>5</x:v>
      </x:c>
      <x:c r="R28" s="46" t="n">
        <x:v>4</x:v>
      </x:c>
      <x:c r="S28" s="46" t="n">
        <x:v>4</x:v>
      </x:c>
      <x:c r="T28" s="46" t="n">
        <x:v>4</x:v>
      </x:c>
      <x:c r="U28" s="46" t="n">
        <x:v>4</x:v>
      </x:c>
      <x:c r="V28" s="46" t="n">
        <x:v>4</x:v>
      </x:c>
      <x:c r="W28" s="46" t="n">
        <x:v>4</x:v>
      </x:c>
      <x:c r="X28" s="46" t="n">
        <x:v>4</x:v>
      </x:c>
      <x:c r="Y28" s="46" t="n">
        <x:v>4</x:v>
      </x:c>
      <x:c r="Z28" s="46" t="n">
        <x:v>4</x:v>
      </x:c>
      <x:c r="AA28" s="46" t="n">
        <x:v>5</x:v>
      </x:c>
      <x:c r="AB28" s="46" t="n">
        <x:v>5</x:v>
      </x:c>
      <x:c r="AC28" s="46" t="n">
        <x:v>4</x:v>
      </x:c>
      <x:c r="AD28" s="46" t="n">
        <x:v>5</x:v>
      </x:c>
      <x:c r="AE28" s="46" t="n">
        <x:v>5</x:v>
      </x:c>
      <x:c r="AF28" s="46" t="n">
        <x:v>5</x:v>
      </x:c>
      <x:c r="AG28" s="46" t="n">
        <x:v>5</x:v>
      </x:c>
      <x:c r="AH28" s="46" t="n">
        <x:f>AVERAGE(H28:N28)</x:f>
        <x:v>4</x:v>
      </x:c>
      <x:c r="AI28" s="46" t="n">
        <x:f>AVERAGE(O28:T28)</x:f>
        <x:v>4.333333333333333</x:v>
      </x:c>
      <x:c r="AJ28" s="46" t="n">
        <x:f>AVERAGE(U28:Z28)</x:f>
        <x:v>4</x:v>
      </x:c>
      <x:c r="AK28" s="46" t="n">
        <x:f>AVERAGE(AA28:AG28)</x:f>
        <x:v>4.857142857142857</x:v>
      </x:c>
    </x:row>
    <x:row r="29">
      <x:c r="A29" s="44" t="str">
        <x:v>Digital-34</x:v>
      </x:c>
      <x:c r="B29" s="44" t="str">
        <x:v>digital</x:v>
      </x:c>
      <x:c r="C29" s="44" t="str">
        <x:v>35–44</x:v>
      </x:c>
      <x:c r="D29" s="44" t="str">
        <x:v>11–20 years</x:v>
      </x:c>
      <x:c r="E29" s="44" t="str">
        <x:v>Officer</x:v>
      </x:c>
      <x:c r="F29" s="45" t="n">
        <x:v>0</x:v>
      </x:c>
      <x:c r="G29" s="45" t="n">
        <x:v>0</x:v>
      </x:c>
      <x:c r="H29" s="46" t="n">
        <x:v>4</x:v>
      </x:c>
      <x:c r="I29" s="46" t="n">
        <x:v>4</x:v>
      </x:c>
      <x:c r="J29" s="46" t="n">
        <x:v>4</x:v>
      </x:c>
      <x:c r="K29" s="46" t="n">
        <x:v>4</x:v>
      </x:c>
      <x:c r="L29" s="46" t="n">
        <x:v>4</x:v>
      </x:c>
      <x:c r="M29" s="46" t="n">
        <x:v>4</x:v>
      </x:c>
      <x:c r="N29" s="46" t="n">
        <x:v>4</x:v>
      </x:c>
      <x:c r="O29" s="46" t="n">
        <x:v>4</x:v>
      </x:c>
      <x:c r="P29" s="46" t="n">
        <x:v>4</x:v>
      </x:c>
      <x:c r="Q29" s="46" t="n">
        <x:v>4</x:v>
      </x:c>
      <x:c r="R29" s="46" t="n">
        <x:v>4</x:v>
      </x:c>
      <x:c r="S29" s="46" t="n">
        <x:v>4</x:v>
      </x:c>
      <x:c r="T29" s="46" t="n">
        <x:v>4</x:v>
      </x:c>
      <x:c r="U29" s="46" t="n">
        <x:v>4</x:v>
      </x:c>
      <x:c r="V29" s="46" t="n">
        <x:v>4</x:v>
      </x:c>
      <x:c r="W29" s="46" t="n">
        <x:v>4</x:v>
      </x:c>
      <x:c r="X29" s="46" t="n">
        <x:v>4</x:v>
      </x:c>
      <x:c r="Y29" s="46" t="n">
        <x:v>4</x:v>
      </x:c>
      <x:c r="Z29" s="46" t="n">
        <x:v>4</x:v>
      </x:c>
      <x:c r="AA29" s="46" t="n">
        <x:v>4</x:v>
      </x:c>
      <x:c r="AB29" s="46" t="n">
        <x:v>4</x:v>
      </x:c>
      <x:c r="AC29" s="46" t="n">
        <x:v>4</x:v>
      </x:c>
      <x:c r="AD29" s="46" t="n">
        <x:v>4</x:v>
      </x:c>
      <x:c r="AE29" s="46" t="n">
        <x:v>4</x:v>
      </x:c>
      <x:c r="AF29" s="46" t="n">
        <x:v>4</x:v>
      </x:c>
      <x:c r="AG29" s="46" t="n">
        <x:v>4</x:v>
      </x:c>
      <x:c r="AH29" s="46" t="n">
        <x:f>AVERAGE(H29:N29)</x:f>
        <x:v>4</x:v>
      </x:c>
      <x:c r="AI29" s="46" t="n">
        <x:f>AVERAGE(O29:T29)</x:f>
        <x:v>4</x:v>
      </x:c>
      <x:c r="AJ29" s="46" t="n">
        <x:f>AVERAGE(U29:Z29)</x:f>
        <x:v>4</x:v>
      </x:c>
      <x:c r="AK29" s="46" t="n">
        <x:f>AVERAGE(AA29:AG29)</x:f>
        <x:v>4</x:v>
      </x:c>
    </x:row>
    <x:row r="30">
      <x:c r="A30" s="44" t="str">
        <x:v>Digital-36</x:v>
      </x:c>
      <x:c r="B30" s="44" t="str">
        <x:v>digital</x:v>
      </x:c>
      <x:c r="C30" s="44" t="str">
        <x:v>35–44</x:v>
      </x:c>
      <x:c r="D30" s="44" t="str">
        <x:v>11–20 years</x:v>
      </x:c>
      <x:c r="E30" s="44" t="str">
        <x:v>Officer</x:v>
      </x:c>
      <x:c r="F30" s="45" t="n">
        <x:v>0</x:v>
      </x:c>
      <x:c r="G30" s="45" t="n">
        <x:v>0</x:v>
      </x:c>
      <x:c r="H30" s="46" t="n">
        <x:v>5</x:v>
      </x:c>
      <x:c r="I30" s="46" t="n">
        <x:v>5</x:v>
      </x:c>
      <x:c r="J30" s="46" t="n">
        <x:v>5</x:v>
      </x:c>
      <x:c r="K30" s="46" t="n">
        <x:v>5</x:v>
      </x:c>
      <x:c r="L30" s="46" t="n">
        <x:v>5</x:v>
      </x:c>
      <x:c r="M30" s="46" t="n">
        <x:v>5</x:v>
      </x:c>
      <x:c r="N30" s="46" t="n">
        <x:v>5</x:v>
      </x:c>
      <x:c r="O30" s="46" t="n">
        <x:v>3</x:v>
      </x:c>
      <x:c r="P30" s="46" t="n">
        <x:v>3</x:v>
      </x:c>
      <x:c r="Q30" s="46" t="n">
        <x:v>3</x:v>
      </x:c>
      <x:c r="R30" s="46" t="n">
        <x:v>3</x:v>
      </x:c>
      <x:c r="S30" s="46" t="n">
        <x:v>3</x:v>
      </x:c>
      <x:c r="T30" s="46" t="n">
        <x:v>3</x:v>
      </x:c>
      <x:c r="U30" s="46" t="n">
        <x:v>4</x:v>
      </x:c>
      <x:c r="V30" s="46" t="n">
        <x:v>4</x:v>
      </x:c>
      <x:c r="W30" s="46" t="n">
        <x:v>4</x:v>
      </x:c>
      <x:c r="X30" s="46" t="n">
        <x:v>4</x:v>
      </x:c>
      <x:c r="Y30" s="46" t="n">
        <x:v>4</x:v>
      </x:c>
      <x:c r="Z30" s="46" t="n">
        <x:v>4</x:v>
      </x:c>
      <x:c r="AA30" s="46" t="n">
        <x:v>5</x:v>
      </x:c>
      <x:c r="AB30" s="46" t="n">
        <x:v>5</x:v>
      </x:c>
      <x:c r="AC30" s="46" t="n">
        <x:v>5</x:v>
      </x:c>
      <x:c r="AD30" s="46" t="n">
        <x:v>5</x:v>
      </x:c>
      <x:c r="AE30" s="46" t="n">
        <x:v>5</x:v>
      </x:c>
      <x:c r="AF30" s="46" t="n">
        <x:v>5</x:v>
      </x:c>
      <x:c r="AG30" s="46" t="n">
        <x:v>5</x:v>
      </x:c>
      <x:c r="AH30" s="46" t="n">
        <x:f>AVERAGE(H30:N30)</x:f>
        <x:v>5</x:v>
      </x:c>
      <x:c r="AI30" s="46" t="n">
        <x:f>AVERAGE(O30:T30)</x:f>
        <x:v>3</x:v>
      </x:c>
      <x:c r="AJ30" s="46" t="n">
        <x:f>AVERAGE(U30:Z30)</x:f>
        <x:v>4</x:v>
      </x:c>
      <x:c r="AK30" s="46" t="n">
        <x:f>AVERAGE(AA30:AG30)</x:f>
        <x:v>5</x:v>
      </x:c>
    </x:row>
    <x:row r="31">
      <x:c r="A31" s="44" t="str">
        <x:v>Digital-37</x:v>
      </x:c>
      <x:c r="B31" s="44" t="str">
        <x:v>digital</x:v>
      </x:c>
      <x:c r="C31" s="44" t="str">
        <x:v>35–44</x:v>
      </x:c>
      <x:c r="D31" s="44" t="str">
        <x:v>11–20 years</x:v>
      </x:c>
      <x:c r="E31" s="44" t="str">
        <x:v>Officer</x:v>
      </x:c>
      <x:c r="F31" s="45" t="n">
        <x:v>0</x:v>
      </x:c>
      <x:c r="G31" s="45" t="n">
        <x:v>0</x:v>
      </x:c>
      <x:c r="H31" s="46" t="n">
        <x:v>3</x:v>
      </x:c>
      <x:c r="I31" s="46" t="n">
        <x:v>3</x:v>
      </x:c>
      <x:c r="J31" s="46" t="n">
        <x:v>3</x:v>
      </x:c>
      <x:c r="K31" s="46" t="n">
        <x:v>3</x:v>
      </x:c>
      <x:c r="L31" s="46" t="n">
        <x:v>3</x:v>
      </x:c>
      <x:c r="M31" s="46" t="n">
        <x:v>3</x:v>
      </x:c>
      <x:c r="N31" s="46" t="n">
        <x:v>3</x:v>
      </x:c>
      <x:c r="O31" s="46" t="n">
        <x:v>5</x:v>
      </x:c>
      <x:c r="P31" s="46" t="n">
        <x:v>4</x:v>
      </x:c>
      <x:c r="Q31" s="46" t="n">
        <x:v>4</x:v>
      </x:c>
      <x:c r="R31" s="46" t="n">
        <x:v>4</x:v>
      </x:c>
      <x:c r="S31" s="46" t="n">
        <x:v>4</x:v>
      </x:c>
      <x:c r="T31" s="46" t="n">
        <x:v>4</x:v>
      </x:c>
      <x:c r="U31" s="46" t="n">
        <x:v>5</x:v>
      </x:c>
      <x:c r="V31" s="46" t="n">
        <x:v>4</x:v>
      </x:c>
      <x:c r="W31" s="46" t="n">
        <x:v>4</x:v>
      </x:c>
      <x:c r="X31" s="46" t="n">
        <x:v>4</x:v>
      </x:c>
      <x:c r="Y31" s="46" t="n">
        <x:v>4</x:v>
      </x:c>
      <x:c r="Z31" s="46" t="n">
        <x:v>4</x:v>
      </x:c>
      <x:c r="AA31" s="46" t="n">
        <x:v>5</x:v>
      </x:c>
      <x:c r="AB31" s="46" t="n">
        <x:v>5</x:v>
      </x:c>
      <x:c r="AC31" s="46" t="n">
        <x:v>5</x:v>
      </x:c>
      <x:c r="AD31" s="46" t="n">
        <x:v>5</x:v>
      </x:c>
      <x:c r="AE31" s="46" t="n">
        <x:v>5</x:v>
      </x:c>
      <x:c r="AF31" s="46" t="n">
        <x:v>5</x:v>
      </x:c>
      <x:c r="AG31" s="46" t="n">
        <x:v>5</x:v>
      </x:c>
      <x:c r="AH31" s="46" t="n">
        <x:f>AVERAGE(H31:N31)</x:f>
        <x:v>3</x:v>
      </x:c>
      <x:c r="AI31" s="46" t="n">
        <x:f>AVERAGE(O31:T31)</x:f>
        <x:v>4.166666666666667</x:v>
      </x:c>
      <x:c r="AJ31" s="46" t="n">
        <x:f>AVERAGE(U31:Z31)</x:f>
        <x:v>4.166666666666667</x:v>
      </x:c>
      <x:c r="AK31" s="46" t="n">
        <x:f>AVERAGE(AA31:AG31)</x:f>
        <x:v>5</x:v>
      </x:c>
    </x:row>
    <x:row r="32">
      <x:c r="A32" s="44" t="str">
        <x:v>Digital-38</x:v>
      </x:c>
      <x:c r="B32" s="44" t="str">
        <x:v>digital</x:v>
      </x:c>
      <x:c r="C32" s="44" t="str">
        <x:v>55 and above</x:v>
      </x:c>
      <x:c r="D32" s="44" t="str">
        <x:v>Above 20 years</x:v>
      </x:c>
      <x:c r="E32" s="44" t="str">
        <x:v>Managerial</x:v>
      </x:c>
      <x:c r="F32" s="45" t="n">
        <x:v>0</x:v>
      </x:c>
      <x:c r="G32" s="45" t="n">
        <x:v>0</x:v>
      </x:c>
      <x:c r="H32" s="46" t="n">
        <x:v>4</x:v>
      </x:c>
      <x:c r="I32" s="46" t="n">
        <x:v>4</x:v>
      </x:c>
      <x:c r="J32" s="46" t="n">
        <x:v>4</x:v>
      </x:c>
      <x:c r="K32" s="46" t="n">
        <x:v>4</x:v>
      </x:c>
      <x:c r="L32" s="46" t="n">
        <x:v>4</x:v>
      </x:c>
      <x:c r="M32" s="46" t="n">
        <x:v>4</x:v>
      </x:c>
      <x:c r="N32" s="46" t="n">
        <x:v>4</x:v>
      </x:c>
      <x:c r="O32" s="46" t="n">
        <x:v>4</x:v>
      </x:c>
      <x:c r="P32" s="46" t="n">
        <x:v>4</x:v>
      </x:c>
      <x:c r="Q32" s="46" t="n">
        <x:v>4</x:v>
      </x:c>
      <x:c r="R32" s="46" t="n">
        <x:v>4</x:v>
      </x:c>
      <x:c r="S32" s="46" t="n">
        <x:v>4</x:v>
      </x:c>
      <x:c r="T32" s="46" t="n">
        <x:v>4</x:v>
      </x:c>
      <x:c r="U32" s="46" t="n">
        <x:v>4</x:v>
      </x:c>
      <x:c r="V32" s="46" t="n">
        <x:v>4</x:v>
      </x:c>
      <x:c r="W32" s="46" t="n">
        <x:v>4</x:v>
      </x:c>
      <x:c r="X32" s="46" t="n">
        <x:v>4</x:v>
      </x:c>
      <x:c r="Y32" s="46" t="n">
        <x:v>4</x:v>
      </x:c>
      <x:c r="Z32" s="46" t="n">
        <x:v>4</x:v>
      </x:c>
      <x:c r="AA32" s="46" t="n">
        <x:v>4</x:v>
      </x:c>
      <x:c r="AB32" s="46" t="n">
        <x:v>4</x:v>
      </x:c>
      <x:c r="AC32" s="46" t="n">
        <x:v>4</x:v>
      </x:c>
      <x:c r="AD32" s="46" t="n">
        <x:v>4</x:v>
      </x:c>
      <x:c r="AE32" s="46" t="n">
        <x:v>4</x:v>
      </x:c>
      <x:c r="AF32" s="46" t="n">
        <x:v>4</x:v>
      </x:c>
      <x:c r="AG32" s="46" t="n">
        <x:v>4</x:v>
      </x:c>
      <x:c r="AH32" s="46" t="n">
        <x:f>AVERAGE(H32:N32)</x:f>
        <x:v>4</x:v>
      </x:c>
      <x:c r="AI32" s="46" t="n">
        <x:f>AVERAGE(O32:T32)</x:f>
        <x:v>4</x:v>
      </x:c>
      <x:c r="AJ32" s="46" t="n">
        <x:f>AVERAGE(U32:Z32)</x:f>
        <x:v>4</x:v>
      </x:c>
      <x:c r="AK32" s="46" t="n">
        <x:f>AVERAGE(AA32:AG32)</x:f>
        <x:v>4</x:v>
      </x:c>
    </x:row>
    <x:row r="33">
      <x:c r="A33" s="44" t="str">
        <x:v>Digital-39</x:v>
      </x:c>
      <x:c r="B33" s="44" t="str">
        <x:v>digital</x:v>
      </x:c>
      <x:c r="C33" s="44" t="str">
        <x:v>25–34</x:v>
      </x:c>
      <x:c r="D33" s="44" t="str">
        <x:v>5–10 years</x:v>
      </x:c>
      <x:c r="E33" s="44" t="str">
        <x:v>Managerial</x:v>
      </x:c>
      <x:c r="F33" s="45" t="n">
        <x:v>0</x:v>
      </x:c>
      <x:c r="G33" s="45" t="n">
        <x:v>0</x:v>
      </x:c>
      <x:c r="H33" s="46" t="n">
        <x:v>2</x:v>
      </x:c>
      <x:c r="I33" s="46" t="n">
        <x:v>2</x:v>
      </x:c>
      <x:c r="J33" s="46" t="n">
        <x:v>2</x:v>
      </x:c>
      <x:c r="K33" s="46" t="n">
        <x:v>2</x:v>
      </x:c>
      <x:c r="L33" s="46" t="n">
        <x:v>2</x:v>
      </x:c>
      <x:c r="M33" s="46" t="n">
        <x:v>2</x:v>
      </x:c>
      <x:c r="N33" s="46" t="n">
        <x:v>2</x:v>
      </x:c>
      <x:c r="O33" s="46" t="n">
        <x:v>4</x:v>
      </x:c>
      <x:c r="P33" s="46" t="n">
        <x:v>4</x:v>
      </x:c>
      <x:c r="Q33" s="46" t="n">
        <x:v>4</x:v>
      </x:c>
      <x:c r="R33" s="46" t="n">
        <x:v>4</x:v>
      </x:c>
      <x:c r="S33" s="46" t="n">
        <x:v>4</x:v>
      </x:c>
      <x:c r="T33" s="46" t="n">
        <x:v>4</x:v>
      </x:c>
      <x:c r="U33" s="46" t="n">
        <x:v>4</x:v>
      </x:c>
      <x:c r="V33" s="46" t="n">
        <x:v>4</x:v>
      </x:c>
      <x:c r="W33" s="46" t="n">
        <x:v>4</x:v>
      </x:c>
      <x:c r="X33" s="46" t="n">
        <x:v>4</x:v>
      </x:c>
      <x:c r="Y33" s="46" t="n">
        <x:v>4</x:v>
      </x:c>
      <x:c r="Z33" s="46" t="n">
        <x:v>4</x:v>
      </x:c>
      <x:c r="AA33" s="46" t="n">
        <x:v>4</x:v>
      </x:c>
      <x:c r="AB33" s="46" t="n">
        <x:v>4</x:v>
      </x:c>
      <x:c r="AC33" s="46" t="n">
        <x:v>4</x:v>
      </x:c>
      <x:c r="AD33" s="46" t="n">
        <x:v>4</x:v>
      </x:c>
      <x:c r="AE33" s="46" t="n">
        <x:v>4</x:v>
      </x:c>
      <x:c r="AF33" s="46" t="n">
        <x:v>4</x:v>
      </x:c>
      <x:c r="AG33" s="46" t="n">
        <x:v>4</x:v>
      </x:c>
      <x:c r="AH33" s="46" t="n">
        <x:f>AVERAGE(H33:N33)</x:f>
        <x:v>2</x:v>
      </x:c>
      <x:c r="AI33" s="46" t="n">
        <x:f>AVERAGE(O33:T33)</x:f>
        <x:v>4</x:v>
      </x:c>
      <x:c r="AJ33" s="46" t="n">
        <x:f>AVERAGE(U33:Z33)</x:f>
        <x:v>4</x:v>
      </x:c>
      <x:c r="AK33" s="46" t="n">
        <x:f>AVERAGE(AA33:AG33)</x:f>
        <x:v>4</x:v>
      </x:c>
    </x:row>
    <x:row r="34">
      <x:c r="A34" s="44" t="str">
        <x:v>Digital-40</x:v>
      </x:c>
      <x:c r="B34" s="44" t="str">
        <x:v>digital</x:v>
      </x:c>
      <x:c r="C34" s="44" t="str">
        <x:v>25–34</x:v>
      </x:c>
      <x:c r="D34" s="44" t="str">
        <x:v>5–10 years</x:v>
      </x:c>
      <x:c r="E34" s="44" t="str">
        <x:v>Managerial</x:v>
      </x:c>
      <x:c r="F34" s="45" t="n">
        <x:v>0</x:v>
      </x:c>
      <x:c r="G34" s="45" t="n">
        <x:v>0</x:v>
      </x:c>
      <x:c r="H34" s="46" t="n">
        <x:v>4</x:v>
      </x:c>
      <x:c r="I34" s="46" t="n">
        <x:v>4</x:v>
      </x:c>
      <x:c r="J34" s="46" t="n">
        <x:v>4</x:v>
      </x:c>
      <x:c r="K34" s="46" t="n">
        <x:v>4</x:v>
      </x:c>
      <x:c r="L34" s="46" t="n">
        <x:v>4</x:v>
      </x:c>
      <x:c r="M34" s="46" t="n">
        <x:v>4</x:v>
      </x:c>
      <x:c r="N34" s="46" t="n">
        <x:v>4</x:v>
      </x:c>
      <x:c r="O34" s="46" t="n">
        <x:v>4</x:v>
      </x:c>
      <x:c r="P34" s="46" t="n">
        <x:v>4</x:v>
      </x:c>
      <x:c r="Q34" s="46" t="n">
        <x:v>4</x:v>
      </x:c>
      <x:c r="R34" s="46" t="n">
        <x:v>4</x:v>
      </x:c>
      <x:c r="S34" s="46" t="n">
        <x:v>4</x:v>
      </x:c>
      <x:c r="T34" s="46" t="n">
        <x:v>4</x:v>
      </x:c>
      <x:c r="U34" s="46" t="n">
        <x:v>4</x:v>
      </x:c>
      <x:c r="V34" s="46" t="n">
        <x:v>4</x:v>
      </x:c>
      <x:c r="W34" s="46" t="n">
        <x:v>4</x:v>
      </x:c>
      <x:c r="X34" s="46" t="n">
        <x:v>4</x:v>
      </x:c>
      <x:c r="Y34" s="46" t="n">
        <x:v>4</x:v>
      </x:c>
      <x:c r="Z34" s="46" t="n">
        <x:v>4</x:v>
      </x:c>
      <x:c r="AA34" s="46" t="n">
        <x:v>5</x:v>
      </x:c>
      <x:c r="AB34" s="46" t="n">
        <x:v>5</x:v>
      </x:c>
      <x:c r="AC34" s="46" t="n">
        <x:v>5</x:v>
      </x:c>
      <x:c r="AD34" s="46" t="n">
        <x:v>5</x:v>
      </x:c>
      <x:c r="AE34" s="46" t="n">
        <x:v>5</x:v>
      </x:c>
      <x:c r="AF34" s="46" t="n">
        <x:v>5</x:v>
      </x:c>
      <x:c r="AG34" s="46" t="n">
        <x:v>5</x:v>
      </x:c>
      <x:c r="AH34" s="46" t="n">
        <x:f>AVERAGE(H34:N34)</x:f>
        <x:v>4</x:v>
      </x:c>
      <x:c r="AI34" s="46" t="n">
        <x:f>AVERAGE(O34:T34)</x:f>
        <x:v>4</x:v>
      </x:c>
      <x:c r="AJ34" s="46" t="n">
        <x:f>AVERAGE(U34:Z34)</x:f>
        <x:v>4</x:v>
      </x:c>
      <x:c r="AK34" s="46" t="n">
        <x:f>AVERAGE(AA34:AG34)</x:f>
        <x:v>5</x:v>
      </x:c>
    </x:row>
    <x:row r="35">
      <x:c r="A35" s="44" t="str">
        <x:v>Digital-41</x:v>
      </x:c>
      <x:c r="B35" s="44" t="str">
        <x:v>digital</x:v>
      </x:c>
      <x:c r="C35" s="44" t="str">
        <x:v>35–44</x:v>
      </x:c>
      <x:c r="D35" s="44" t="str">
        <x:v>11–20 years</x:v>
      </x:c>
      <x:c r="E35" s="44" t="str">
        <x:v>Managerial</x:v>
      </x:c>
      <x:c r="F35" s="45" t="n">
        <x:v>0</x:v>
      </x:c>
      <x:c r="G35" s="45" t="n">
        <x:v>0</x:v>
      </x:c>
      <x:c r="H35" s="46" t="n">
        <x:v>4</x:v>
      </x:c>
      <x:c r="I35" s="46" t="n">
        <x:v>5</x:v>
      </x:c>
      <x:c r="J35" s="46" t="n">
        <x:v>5</x:v>
      </x:c>
      <x:c r="K35" s="46" t="n">
        <x:v>5</x:v>
      </x:c>
      <x:c r="L35" s="46" t="n">
        <x:v>4</x:v>
      </x:c>
      <x:c r="M35" s="46" t="n">
        <x:v>4</x:v>
      </x:c>
      <x:c r="N35" s="46" t="n">
        <x:v>5</x:v>
      </x:c>
      <x:c r="O35" s="46" t="n">
        <x:v>4</x:v>
      </x:c>
      <x:c r="P35" s="46" t="n">
        <x:v>5</x:v>
      </x:c>
      <x:c r="Q35" s="46" t="n">
        <x:v>4</x:v>
      </x:c>
      <x:c r="R35" s="46" t="n">
        <x:v>5</x:v>
      </x:c>
      <x:c r="S35" s="46" t="n">
        <x:v>4</x:v>
      </x:c>
      <x:c r="T35" s="46" t="n">
        <x:v>5</x:v>
      </x:c>
      <x:c r="U35" s="46" t="n">
        <x:v>4</x:v>
      </x:c>
      <x:c r="V35" s="46" t="n">
        <x:v>5</x:v>
      </x:c>
      <x:c r="W35" s="46" t="n">
        <x:v>4</x:v>
      </x:c>
      <x:c r="X35" s="46" t="n">
        <x:v>5</x:v>
      </x:c>
      <x:c r="Y35" s="46" t="n">
        <x:v>4</x:v>
      </x:c>
      <x:c r="Z35" s="46" t="n">
        <x:v>5</x:v>
      </x:c>
      <x:c r="AA35" s="46" t="n">
        <x:v>5</x:v>
      </x:c>
      <x:c r="AB35" s="46" t="n">
        <x:v>4</x:v>
      </x:c>
      <x:c r="AC35" s="46" t="n">
        <x:v>5</x:v>
      </x:c>
      <x:c r="AD35" s="46" t="n">
        <x:v>4</x:v>
      </x:c>
      <x:c r="AE35" s="46" t="n">
        <x:v>5</x:v>
      </x:c>
      <x:c r="AF35" s="46" t="n">
        <x:v>4</x:v>
      </x:c>
      <x:c r="AG35" s="46" t="n">
        <x:v>5</x:v>
      </x:c>
      <x:c r="AH35" s="46" t="n">
        <x:f>AVERAGE(H35:N35)</x:f>
        <x:v>4.571428571428571</x:v>
      </x:c>
      <x:c r="AI35" s="46" t="n">
        <x:f>AVERAGE(O35:T35)</x:f>
        <x:v>4.5</x:v>
      </x:c>
      <x:c r="AJ35" s="46" t="n">
        <x:f>AVERAGE(U35:Z35)</x:f>
        <x:v>4.5</x:v>
      </x:c>
      <x:c r="AK35" s="46" t="n">
        <x:f>AVERAGE(AA35:AG35)</x:f>
        <x:v>4.571428571428571</x:v>
      </x:c>
    </x:row>
    <x:row r="36">
      <x:c r="A36" s="44" t="str">
        <x:v>Digital-42</x:v>
      </x:c>
      <x:c r="B36" s="44" t="str">
        <x:v>digital</x:v>
      </x:c>
      <x:c r="C36" s="44" t="str">
        <x:v>45–54</x:v>
      </x:c>
      <x:c r="D36" s="44" t="str">
        <x:v>11–20 years</x:v>
      </x:c>
      <x:c r="E36" s="44" t="str">
        <x:v>Managerial</x:v>
      </x:c>
      <x:c r="F36" s="45" t="n">
        <x:v>0</x:v>
      </x:c>
      <x:c r="G36" s="45" t="n">
        <x:v>0</x:v>
      </x:c>
      <x:c r="H36" s="46" t="n">
        <x:v>4</x:v>
      </x:c>
      <x:c r="I36" s="46" t="n">
        <x:v>4</x:v>
      </x:c>
      <x:c r="J36" s="46" t="n">
        <x:v>4</x:v>
      </x:c>
      <x:c r="K36" s="46" t="n">
        <x:v>4</x:v>
      </x:c>
      <x:c r="L36" s="46" t="n">
        <x:v>4</x:v>
      </x:c>
      <x:c r="M36" s="46" t="n">
        <x:v>4</x:v>
      </x:c>
      <x:c r="N36" s="46" t="n">
        <x:v>4</x:v>
      </x:c>
      <x:c r="O36" s="46" t="n">
        <x:v>4</x:v>
      </x:c>
      <x:c r="P36" s="46" t="n">
        <x:v>4</x:v>
      </x:c>
      <x:c r="Q36" s="46" t="n">
        <x:v>4</x:v>
      </x:c>
      <x:c r="R36" s="46" t="n">
        <x:v>4</x:v>
      </x:c>
      <x:c r="S36" s="46" t="n">
        <x:v>4</x:v>
      </x:c>
      <x:c r="T36" s="46" t="n">
        <x:v>4</x:v>
      </x:c>
      <x:c r="U36" s="46" t="n">
        <x:v>5</x:v>
      </x:c>
      <x:c r="V36" s="46" t="n">
        <x:v>5</x:v>
      </x:c>
      <x:c r="W36" s="46" t="n">
        <x:v>5</x:v>
      </x:c>
      <x:c r="X36" s="46" t="n">
        <x:v>5</x:v>
      </x:c>
      <x:c r="Y36" s="46" t="n">
        <x:v>5</x:v>
      </x:c>
      <x:c r="Z36" s="46" t="n">
        <x:v>5</x:v>
      </x:c>
      <x:c r="AA36" s="46" t="n">
        <x:v>5</x:v>
      </x:c>
      <x:c r="AB36" s="46" t="n">
        <x:v>5</x:v>
      </x:c>
      <x:c r="AC36" s="46" t="n">
        <x:v>5</x:v>
      </x:c>
      <x:c r="AD36" s="46" t="n">
        <x:v>5</x:v>
      </x:c>
      <x:c r="AE36" s="46" t="n">
        <x:v>5</x:v>
      </x:c>
      <x:c r="AF36" s="46" t="n">
        <x:v>5</x:v>
      </x:c>
      <x:c r="AG36" s="46" t="n">
        <x:v>5</x:v>
      </x:c>
      <x:c r="AH36" s="46" t="n">
        <x:f>AVERAGE(H36:N36)</x:f>
        <x:v>4</x:v>
      </x:c>
      <x:c r="AI36" s="46" t="n">
        <x:f>AVERAGE(O36:T36)</x:f>
        <x:v>4</x:v>
      </x:c>
      <x:c r="AJ36" s="46" t="n">
        <x:f>AVERAGE(U36:Z36)</x:f>
        <x:v>5</x:v>
      </x:c>
      <x:c r="AK36" s="46" t="n">
        <x:f>AVERAGE(AA36:AG36)</x:f>
        <x:v>5</x:v>
      </x:c>
    </x:row>
    <x:row r="37">
      <x:c r="A37" s="44" t="str">
        <x:v>Digital-43</x:v>
      </x:c>
      <x:c r="B37" s="44" t="str">
        <x:v>digital</x:v>
      </x:c>
      <x:c r="C37" s="44" t="str">
        <x:v>35–44</x:v>
      </x:c>
      <x:c r="D37" s="44" t="str">
        <x:v>11–20 years</x:v>
      </x:c>
      <x:c r="E37" s="44" t="str">
        <x:v>Officer</x:v>
      </x:c>
      <x:c r="F37" s="45" t="n">
        <x:v>0</x:v>
      </x:c>
      <x:c r="G37" s="45" t="n">
        <x:v>0</x:v>
      </x:c>
      <x:c r="H37" s="46" t="n">
        <x:v>4</x:v>
      </x:c>
      <x:c r="I37" s="46" t="n">
        <x:v>3</x:v>
      </x:c>
      <x:c r="J37" s="46" t="n">
        <x:v>3</x:v>
      </x:c>
      <x:c r="K37" s="46" t="n">
        <x:v>4</x:v>
      </x:c>
      <x:c r="L37" s="46" t="n">
        <x:v>4</x:v>
      </x:c>
      <x:c r="M37" s="46" t="n">
        <x:v>4</x:v>
      </x:c>
      <x:c r="N37" s="46" t="n">
        <x:v>4</x:v>
      </x:c>
      <x:c r="O37" s="46" t="n">
        <x:v>3</x:v>
      </x:c>
      <x:c r="P37" s="46" t="n">
        <x:v>3</x:v>
      </x:c>
      <x:c r="Q37" s="46" t="n">
        <x:v>3</x:v>
      </x:c>
      <x:c r="R37" s="46" t="n">
        <x:v>3</x:v>
      </x:c>
      <x:c r="S37" s="46" t="n">
        <x:v>4</x:v>
      </x:c>
      <x:c r="T37" s="46" t="n">
        <x:v>4</x:v>
      </x:c>
      <x:c r="U37" s="46" t="n">
        <x:v>4</x:v>
      </x:c>
      <x:c r="V37" s="46" t="n">
        <x:v>4</x:v>
      </x:c>
      <x:c r="W37" s="46" t="n">
        <x:v>4</x:v>
      </x:c>
      <x:c r="X37" s="46" t="n">
        <x:v>3</x:v>
      </x:c>
      <x:c r="Y37" s="46" t="n">
        <x:v>3</x:v>
      </x:c>
      <x:c r="Z37" s="46" t="n">
        <x:v>4</x:v>
      </x:c>
      <x:c r="AA37" s="46" t="n">
        <x:v>5</x:v>
      </x:c>
      <x:c r="AB37" s="46" t="n">
        <x:v>5</x:v>
      </x:c>
      <x:c r="AC37" s="46" t="n">
        <x:v>5</x:v>
      </x:c>
      <x:c r="AD37" s="46" t="n">
        <x:v>5</x:v>
      </x:c>
      <x:c r="AE37" s="46" t="n">
        <x:v>5</x:v>
      </x:c>
      <x:c r="AF37" s="46" t="n">
        <x:v>5</x:v>
      </x:c>
      <x:c r="AG37" s="46" t="n">
        <x:v>5</x:v>
      </x:c>
      <x:c r="AH37" s="46" t="n">
        <x:f>AVERAGE(H37:N37)</x:f>
        <x:v>3.7142857142857144</x:v>
      </x:c>
      <x:c r="AI37" s="46" t="n">
        <x:f>AVERAGE(O37:T37)</x:f>
        <x:v>3.3333333333333335</x:v>
      </x:c>
      <x:c r="AJ37" s="46" t="n">
        <x:f>AVERAGE(U37:Z37)</x:f>
        <x:v>3.6666666666666665</x:v>
      </x:c>
      <x:c r="AK37" s="46" t="n">
        <x:f>AVERAGE(AA37:AG37)</x:f>
        <x:v>5</x:v>
      </x:c>
    </x:row>
    <x:row r="38">
      <x:c r="A38" s="44" t="str">
        <x:v>Digital-44</x:v>
      </x:c>
      <x:c r="B38" s="44" t="str">
        <x:v>digital</x:v>
      </x:c>
      <x:c r="C38" s="44" t="str">
        <x:v>35–44</x:v>
      </x:c>
      <x:c r="D38" s="44" t="str">
        <x:v>11–20 years</x:v>
      </x:c>
      <x:c r="E38" s="44" t="str">
        <x:v>Managerial</x:v>
      </x:c>
      <x:c r="F38" s="45" t="n">
        <x:v>0</x:v>
      </x:c>
      <x:c r="G38" s="45" t="n">
        <x:v>0</x:v>
      </x:c>
      <x:c r="H38" s="46" t="n">
        <x:v>5</x:v>
      </x:c>
      <x:c r="I38" s="46" t="n">
        <x:v>5</x:v>
      </x:c>
      <x:c r="J38" s="46" t="n">
        <x:v>5</x:v>
      </x:c>
      <x:c r="K38" s="46" t="n">
        <x:v>5</x:v>
      </x:c>
      <x:c r="L38" s="46" t="n">
        <x:v>5</x:v>
      </x:c>
      <x:c r="M38" s="46" t="n">
        <x:v>5</x:v>
      </x:c>
      <x:c r="N38" s="46" t="n">
        <x:v>5</x:v>
      </x:c>
      <x:c r="O38" s="46" t="n">
        <x:v>5</x:v>
      </x:c>
      <x:c r="P38" s="46" t="n">
        <x:v>5</x:v>
      </x:c>
      <x:c r="Q38" s="46" t="n">
        <x:v>5</x:v>
      </x:c>
      <x:c r="R38" s="46" t="n">
        <x:v>5</x:v>
      </x:c>
      <x:c r="S38" s="46" t="n">
        <x:v>5</x:v>
      </x:c>
      <x:c r="T38" s="46" t="n">
        <x:v>5</x:v>
      </x:c>
      <x:c r="U38" s="46" t="n">
        <x:v>5</x:v>
      </x:c>
      <x:c r="V38" s="46" t="n">
        <x:v>5</x:v>
      </x:c>
      <x:c r="W38" s="46" t="n">
        <x:v>5</x:v>
      </x:c>
      <x:c r="X38" s="46" t="n">
        <x:v>5</x:v>
      </x:c>
      <x:c r="Y38" s="46" t="n">
        <x:v>5</x:v>
      </x:c>
      <x:c r="Z38" s="46" t="n">
        <x:v>5</x:v>
      </x:c>
      <x:c r="AA38" s="46" t="n">
        <x:v>5</x:v>
      </x:c>
      <x:c r="AB38" s="46" t="n">
        <x:v>5</x:v>
      </x:c>
      <x:c r="AC38" s="46" t="n">
        <x:v>5</x:v>
      </x:c>
      <x:c r="AD38" s="46" t="n">
        <x:v>5</x:v>
      </x:c>
      <x:c r="AE38" s="46" t="n">
        <x:v>5</x:v>
      </x:c>
      <x:c r="AF38" s="46" t="n">
        <x:v>5</x:v>
      </x:c>
      <x:c r="AG38" s="46" t="n">
        <x:v>5</x:v>
      </x:c>
      <x:c r="AH38" s="46" t="n">
        <x:f>AVERAGE(H38:N38)</x:f>
        <x:v>5</x:v>
      </x:c>
      <x:c r="AI38" s="46" t="n">
        <x:f>AVERAGE(O38:T38)</x:f>
        <x:v>5</x:v>
      </x:c>
      <x:c r="AJ38" s="46" t="n">
        <x:f>AVERAGE(U38:Z38)</x:f>
        <x:v>5</x:v>
      </x:c>
      <x:c r="AK38" s="46" t="n">
        <x:f>AVERAGE(AA38:AG38)</x:f>
        <x:v>5</x:v>
      </x:c>
    </x:row>
    <x:row r="39">
      <x:c r="A39" s="44" t="str">
        <x:v>Digital-45</x:v>
      </x:c>
      <x:c r="B39" s="44" t="str">
        <x:v>digital</x:v>
      </x:c>
      <x:c r="C39" s="44" t="str">
        <x:v>45–54</x:v>
      </x:c>
      <x:c r="D39" s="44" t="str">
        <x:v>Above 20 years</x:v>
      </x:c>
      <x:c r="E39" s="44" t="str">
        <x:v>Managerial</x:v>
      </x:c>
      <x:c r="F39" s="45" t="n">
        <x:v>0</x:v>
      </x:c>
      <x:c r="G39" s="45" t="n">
        <x:v>0</x:v>
      </x:c>
      <x:c r="H39" s="46" t="n">
        <x:v>2</x:v>
      </x:c>
      <x:c r="I39" s="46" t="n">
        <x:v>3</x:v>
      </x:c>
      <x:c r="J39" s="46" t="n">
        <x:v>3</x:v>
      </x:c>
      <x:c r="K39" s="46" t="n">
        <x:v>2</x:v>
      </x:c>
      <x:c r="L39" s="46" t="n">
        <x:v>2</x:v>
      </x:c>
      <x:c r="M39" s="46" t="n">
        <x:v>3</x:v>
      </x:c>
      <x:c r="N39" s="46" t="n">
        <x:v>3</x:v>
      </x:c>
      <x:c r="O39" s="46" t="n">
        <x:v>3</x:v>
      </x:c>
      <x:c r="P39" s="46" t="n">
        <x:v>3</x:v>
      </x:c>
      <x:c r="Q39" s="46" t="n">
        <x:v>3</x:v>
      </x:c>
      <x:c r="R39" s="46" t="n">
        <x:v>3</x:v>
      </x:c>
      <x:c r="S39" s="46" t="n">
        <x:v>3</x:v>
      </x:c>
      <x:c r="T39" s="46" t="n">
        <x:v>3</x:v>
      </x:c>
      <x:c r="U39" s="46" t="n">
        <x:v>2</x:v>
      </x:c>
      <x:c r="V39" s="46" t="n">
        <x:v>3</x:v>
      </x:c>
      <x:c r="W39" s="46" t="n">
        <x:v>3</x:v>
      </x:c>
      <x:c r="X39" s="46" t="n">
        <x:v>3</x:v>
      </x:c>
      <x:c r="Y39" s="46" t="n">
        <x:v>3</x:v>
      </x:c>
      <x:c r="Z39" s="46" t="n">
        <x:v>3</x:v>
      </x:c>
      <x:c r="AA39" s="46" t="n">
        <x:v>3</x:v>
      </x:c>
      <x:c r="AB39" s="46" t="n">
        <x:v>3</x:v>
      </x:c>
      <x:c r="AC39" s="46" t="n">
        <x:v>3</x:v>
      </x:c>
      <x:c r="AD39" s="46" t="n">
        <x:v>3</x:v>
      </x:c>
      <x:c r="AE39" s="46" t="n">
        <x:v>3</x:v>
      </x:c>
      <x:c r="AF39" s="46" t="n">
        <x:v>3</x:v>
      </x:c>
      <x:c r="AG39" s="46" t="n">
        <x:v>3</x:v>
      </x:c>
      <x:c r="AH39" s="46" t="n">
        <x:f>AVERAGE(H39:N39)</x:f>
        <x:v>2.5714285714285716</x:v>
      </x:c>
      <x:c r="AI39" s="46" t="n">
        <x:f>AVERAGE(O39:T39)</x:f>
        <x:v>3</x:v>
      </x:c>
      <x:c r="AJ39" s="46" t="n">
        <x:f>AVERAGE(U39:Z39)</x:f>
        <x:v>2.8333333333333335</x:v>
      </x:c>
      <x:c r="AK39" s="46" t="n">
        <x:f>AVERAGE(AA39:AG39)</x:f>
        <x:v>3</x:v>
      </x:c>
    </x:row>
    <x:row r="40">
      <x:c r="A40" s="44" t="str">
        <x:v>Digital-46</x:v>
      </x:c>
      <x:c r="B40" s="44" t="str">
        <x:v>digital</x:v>
      </x:c>
      <x:c r="C40" s="44" t="str">
        <x:v>35–44</x:v>
      </x:c>
      <x:c r="D40" s="44" t="str">
        <x:v>11–20 years</x:v>
      </x:c>
      <x:c r="E40" s="44" t="str">
        <x:v>Officer</x:v>
      </x:c>
      <x:c r="F40" s="45" t="n">
        <x:v>0</x:v>
      </x:c>
      <x:c r="G40" s="45" t="n">
        <x:v>0</x:v>
      </x:c>
      <x:c r="H40" s="46" t="n">
        <x:v>4</x:v>
      </x:c>
      <x:c r="I40" s="46" t="n">
        <x:v>3</x:v>
      </x:c>
      <x:c r="J40" s="46" t="n">
        <x:v>3</x:v>
      </x:c>
      <x:c r="K40" s="46" t="n">
        <x:v>3</x:v>
      </x:c>
      <x:c r="L40" s="46" t="n">
        <x:v>3</x:v>
      </x:c>
      <x:c r="M40" s="46" t="n">
        <x:v>4</x:v>
      </x:c>
      <x:c r="N40" s="46" t="n">
        <x:v>4</x:v>
      </x:c>
      <x:c r="O40" s="46" t="n">
        <x:v>3</x:v>
      </x:c>
      <x:c r="P40" s="46" t="n">
        <x:v>3</x:v>
      </x:c>
      <x:c r="Q40" s="46" t="n">
        <x:v>3</x:v>
      </x:c>
      <x:c r="R40" s="46" t="n">
        <x:v>3</x:v>
      </x:c>
      <x:c r="S40" s="46" t="n">
        <x:v>3</x:v>
      </x:c>
      <x:c r="T40" s="46" t="n">
        <x:v>3</x:v>
      </x:c>
      <x:c r="U40" s="46" t="n">
        <x:v>3</x:v>
      </x:c>
      <x:c r="V40" s="46" t="n">
        <x:v>3</x:v>
      </x:c>
      <x:c r="W40" s="46" t="n">
        <x:v>3</x:v>
      </x:c>
      <x:c r="X40" s="46" t="n">
        <x:v>3</x:v>
      </x:c>
      <x:c r="Y40" s="46" t="n">
        <x:v>3</x:v>
      </x:c>
      <x:c r="Z40" s="46" t="n">
        <x:v>3</x:v>
      </x:c>
      <x:c r="AA40" s="46" t="n">
        <x:v>3</x:v>
      </x:c>
      <x:c r="AB40" s="46" t="n">
        <x:v>3</x:v>
      </x:c>
      <x:c r="AC40" s="46" t="n">
        <x:v>3</x:v>
      </x:c>
      <x:c r="AD40" s="46" t="n">
        <x:v>3</x:v>
      </x:c>
      <x:c r="AE40" s="46" t="n">
        <x:v>3</x:v>
      </x:c>
      <x:c r="AF40" s="46" t="n">
        <x:v>3</x:v>
      </x:c>
      <x:c r="AG40" s="46" t="n">
        <x:v>3</x:v>
      </x:c>
      <x:c r="AH40" s="46" t="n">
        <x:f>AVERAGE(H40:N40)</x:f>
        <x:v>3.4285714285714284</x:v>
      </x:c>
      <x:c r="AI40" s="46" t="n">
        <x:f>AVERAGE(O40:T40)</x:f>
        <x:v>3</x:v>
      </x:c>
      <x:c r="AJ40" s="46" t="n">
        <x:f>AVERAGE(U40:Z40)</x:f>
        <x:v>3</x:v>
      </x:c>
      <x:c r="AK40" s="46" t="n">
        <x:f>AVERAGE(AA40:AG40)</x:f>
        <x:v>3</x:v>
      </x:c>
    </x:row>
    <x:row r="41">
      <x:c r="A41" s="44" t="str">
        <x:v>Digital-47</x:v>
      </x:c>
      <x:c r="B41" s="44" t="str">
        <x:v>digital</x:v>
      </x:c>
      <x:c r="C41" s="44" t="str">
        <x:v>35–44</x:v>
      </x:c>
      <x:c r="D41" s="44" t="str">
        <x:v>11–20 years</x:v>
      </x:c>
      <x:c r="E41" s="44" t="str">
        <x:v>Managerial</x:v>
      </x:c>
      <x:c r="F41" s="45" t="n">
        <x:v>0</x:v>
      </x:c>
      <x:c r="G41" s="45" t="n">
        <x:v>0</x:v>
      </x:c>
      <x:c r="H41" s="46" t="n">
        <x:v>5</x:v>
      </x:c>
      <x:c r="I41" s="46" t="n">
        <x:v>5</x:v>
      </x:c>
      <x:c r="J41" s="46" t="n">
        <x:v>5</x:v>
      </x:c>
      <x:c r="K41" s="46" t="n">
        <x:v>4</x:v>
      </x:c>
      <x:c r="L41" s="46" t="n">
        <x:v>5</x:v>
      </x:c>
      <x:c r="M41" s="46" t="n">
        <x:v>5</x:v>
      </x:c>
      <x:c r="N41" s="46" t="n">
        <x:v>4</x:v>
      </x:c>
      <x:c r="O41" s="46" t="n">
        <x:v>5</x:v>
      </x:c>
      <x:c r="P41" s="46" t="n">
        <x:v>5</x:v>
      </x:c>
      <x:c r="Q41" s="46" t="n">
        <x:v>4</x:v>
      </x:c>
      <x:c r="R41" s="46" t="n">
        <x:v>5</x:v>
      </x:c>
      <x:c r="S41" s="46" t="n">
        <x:v>5</x:v>
      </x:c>
      <x:c r="T41" s="46" t="n">
        <x:v>5</x:v>
      </x:c>
      <x:c r="U41" s="46" t="n">
        <x:v>5</x:v>
      </x:c>
      <x:c r="V41" s="46" t="n">
        <x:v>5</x:v>
      </x:c>
      <x:c r="W41" s="46" t="n">
        <x:v>5</x:v>
      </x:c>
      <x:c r="X41" s="46" t="n">
        <x:v>5</x:v>
      </x:c>
      <x:c r="Y41" s="46" t="n">
        <x:v>5</x:v>
      </x:c>
      <x:c r="Z41" s="46" t="n">
        <x:v>5</x:v>
      </x:c>
      <x:c r="AA41" s="46" t="n">
        <x:v>5</x:v>
      </x:c>
      <x:c r="AB41" s="46" t="n">
        <x:v>5</x:v>
      </x:c>
      <x:c r="AC41" s="46" t="n">
        <x:v>4</x:v>
      </x:c>
      <x:c r="AD41" s="46" t="n">
        <x:v>5</x:v>
      </x:c>
      <x:c r="AE41" s="46" t="n">
        <x:v>5</x:v>
      </x:c>
      <x:c r="AF41" s="46" t="n">
        <x:v>4</x:v>
      </x:c>
      <x:c r="AG41" s="46" t="n">
        <x:v>5</x:v>
      </x:c>
      <x:c r="AH41" s="46" t="n">
        <x:f>AVERAGE(H41:N41)</x:f>
        <x:v>4.714285714285714</x:v>
      </x:c>
      <x:c r="AI41" s="46" t="n">
        <x:f>AVERAGE(O41:T41)</x:f>
        <x:v>4.833333333333333</x:v>
      </x:c>
      <x:c r="AJ41" s="46" t="n">
        <x:f>AVERAGE(U41:Z41)</x:f>
        <x:v>5</x:v>
      </x:c>
      <x:c r="AK41" s="46" t="n">
        <x:f>AVERAGE(AA41:AG41)</x:f>
        <x:v>4.714285714285714</x:v>
      </x:c>
    </x:row>
    <x:row r="42">
      <x:c r="A42" s="44" t="str">
        <x:v>Digital-50</x:v>
      </x:c>
      <x:c r="B42" s="44" t="str">
        <x:v>digital</x:v>
      </x:c>
      <x:c r="C42" s="44" t="str">
        <x:v>25–34</x:v>
      </x:c>
      <x:c r="D42" s="44" t="str">
        <x:v>5–10 years</x:v>
      </x:c>
      <x:c r="E42" s="44" t="str">
        <x:v>Officer</x:v>
      </x:c>
      <x:c r="F42" s="45" t="n">
        <x:v>0</x:v>
      </x:c>
      <x:c r="G42" s="45" t="n">
        <x:v>0</x:v>
      </x:c>
      <x:c r="H42" s="46" t="n">
        <x:v>5</x:v>
      </x:c>
      <x:c r="I42" s="46" t="n">
        <x:v>5</x:v>
      </x:c>
      <x:c r="J42" s="46" t="n">
        <x:v>5</x:v>
      </x:c>
      <x:c r="K42" s="46" t="n">
        <x:v>5</x:v>
      </x:c>
      <x:c r="L42" s="46" t="n">
        <x:v>5</x:v>
      </x:c>
      <x:c r="M42" s="46" t="n">
        <x:v>5</x:v>
      </x:c>
      <x:c r="N42" s="46" t="n">
        <x:v>5</x:v>
      </x:c>
      <x:c r="O42" s="46" t="n">
        <x:v>4</x:v>
      </x:c>
      <x:c r="P42" s="46" t="n">
        <x:v>4</x:v>
      </x:c>
      <x:c r="Q42" s="46" t="n">
        <x:v>4</x:v>
      </x:c>
      <x:c r="R42" s="46" t="n">
        <x:v>4</x:v>
      </x:c>
      <x:c r="S42" s="46" t="n">
        <x:v>5</x:v>
      </x:c>
      <x:c r="T42" s="46" t="n">
        <x:v>5</x:v>
      </x:c>
      <x:c r="U42" s="46" t="n">
        <x:v>5</x:v>
      </x:c>
      <x:c r="V42" s="46" t="n">
        <x:v>5</x:v>
      </x:c>
      <x:c r="W42" s="46" t="n">
        <x:v>5</x:v>
      </x:c>
      <x:c r="X42" s="46" t="n">
        <x:v>5</x:v>
      </x:c>
      <x:c r="Y42" s="46" t="n">
        <x:v>4</x:v>
      </x:c>
      <x:c r="Z42" s="46" t="n">
        <x:v>5</x:v>
      </x:c>
      <x:c r="AA42" s="46" t="n">
        <x:v>4</x:v>
      </x:c>
      <x:c r="AB42" s="46" t="n">
        <x:v>4</x:v>
      </x:c>
      <x:c r="AC42" s="46" t="n">
        <x:v>4</x:v>
      </x:c>
      <x:c r="AD42" s="46" t="n">
        <x:v>4</x:v>
      </x:c>
      <x:c r="AE42" s="46" t="n">
        <x:v>5</x:v>
      </x:c>
      <x:c r="AF42" s="46" t="n">
        <x:v>5</x:v>
      </x:c>
      <x:c r="AG42" s="46" t="n">
        <x:v>5</x:v>
      </x:c>
      <x:c r="AH42" s="46" t="n">
        <x:f>AVERAGE(H42:N42)</x:f>
        <x:v>5</x:v>
      </x:c>
      <x:c r="AI42" s="46" t="n">
        <x:f>AVERAGE(O42:T42)</x:f>
        <x:v>4.333333333333333</x:v>
      </x:c>
      <x:c r="AJ42" s="46" t="n">
        <x:f>AVERAGE(U42:Z42)</x:f>
        <x:v>4.833333333333333</x:v>
      </x:c>
      <x:c r="AK42" s="46" t="n">
        <x:f>AVERAGE(AA42:AG42)</x:f>
        <x:v>4.428571428571429</x:v>
      </x:c>
    </x:row>
    <x:row r="43">
      <x:c r="A43" s="44" t="str">
        <x:v>Digital-51</x:v>
      </x:c>
      <x:c r="B43" s="44" t="str">
        <x:v>digital</x:v>
      </x:c>
      <x:c r="C43" s="44" t="str">
        <x:v>35–44</x:v>
      </x:c>
      <x:c r="D43" s="44" t="str">
        <x:v>11–20 years</x:v>
      </x:c>
      <x:c r="E43" s="44" t="str">
        <x:v>Officer</x:v>
      </x:c>
      <x:c r="F43" s="45" t="n">
        <x:v>0</x:v>
      </x:c>
      <x:c r="G43" s="45" t="n">
        <x:v>0</x:v>
      </x:c>
      <x:c r="H43" s="46" t="n">
        <x:v>4</x:v>
      </x:c>
      <x:c r="I43" s="46" t="n">
        <x:v>4</x:v>
      </x:c>
      <x:c r="J43" s="46" t="n">
        <x:v>4</x:v>
      </x:c>
      <x:c r="K43" s="46" t="n">
        <x:v>4</x:v>
      </x:c>
      <x:c r="L43" s="46" t="n">
        <x:v>4</x:v>
      </x:c>
      <x:c r="M43" s="46" t="n">
        <x:v>4</x:v>
      </x:c>
      <x:c r="N43" s="46" t="n">
        <x:v>4</x:v>
      </x:c>
      <x:c r="O43" s="46" t="n">
        <x:v>3</x:v>
      </x:c>
      <x:c r="P43" s="46" t="n">
        <x:v>4</x:v>
      </x:c>
      <x:c r="Q43" s="46" t="n">
        <x:v>4</x:v>
      </x:c>
      <x:c r="R43" s="46" t="n">
        <x:v>4</x:v>
      </x:c>
      <x:c r="S43" s="46" t="n">
        <x:v>5</x:v>
      </x:c>
      <x:c r="T43" s="46" t="n">
        <x:v>4</x:v>
      </x:c>
      <x:c r="U43" s="46" t="n">
        <x:v>5</x:v>
      </x:c>
      <x:c r="V43" s="46" t="n">
        <x:v>5</x:v>
      </x:c>
      <x:c r="W43" s="46" t="n">
        <x:v>5</x:v>
      </x:c>
      <x:c r="X43" s="46" t="n">
        <x:v>5</x:v>
      </x:c>
      <x:c r="Y43" s="46" t="n">
        <x:v>5</x:v>
      </x:c>
      <x:c r="Z43" s="46" t="n">
        <x:v>5</x:v>
      </x:c>
      <x:c r="AA43" s="46" t="n">
        <x:v>5</x:v>
      </x:c>
      <x:c r="AB43" s="46" t="n">
        <x:v>5</x:v>
      </x:c>
      <x:c r="AC43" s="46" t="n">
        <x:v>4</x:v>
      </x:c>
      <x:c r="AD43" s="46" t="n">
        <x:v>4</x:v>
      </x:c>
      <x:c r="AE43" s="46" t="n">
        <x:v>4</x:v>
      </x:c>
      <x:c r="AF43" s="46" t="n">
        <x:v>4</x:v>
      </x:c>
      <x:c r="AG43" s="46" t="n">
        <x:v>4</x:v>
      </x:c>
      <x:c r="AH43" s="46" t="n">
        <x:f>AVERAGE(H43:N43)</x:f>
        <x:v>4</x:v>
      </x:c>
      <x:c r="AI43" s="46" t="n">
        <x:f>AVERAGE(O43:T43)</x:f>
        <x:v>4</x:v>
      </x:c>
      <x:c r="AJ43" s="46" t="n">
        <x:f>AVERAGE(U43:Z43)</x:f>
        <x:v>5</x:v>
      </x:c>
      <x:c r="AK43" s="46" t="n">
        <x:f>AVERAGE(AA43:AG43)</x:f>
        <x:v>4.285714285714286</x:v>
      </x:c>
    </x:row>
    <x:row r="44">
      <x:c r="A44" s="44" t="str">
        <x:v>Digital-52</x:v>
      </x:c>
      <x:c r="B44" s="44" t="str">
        <x:v>digital</x:v>
      </x:c>
      <x:c r="C44" s="44" t="str">
        <x:v>35–44</x:v>
      </x:c>
      <x:c r="D44" s="44" t="str">
        <x:v>11–20 years</x:v>
      </x:c>
      <x:c r="E44" s="44" t="str">
        <x:v>Officer</x:v>
      </x:c>
      <x:c r="F44" s="45" t="n">
        <x:v>0</x:v>
      </x:c>
      <x:c r="G44" s="45" t="n">
        <x:v>0</x:v>
      </x:c>
      <x:c r="H44" s="46" t="n">
        <x:v>4</x:v>
      </x:c>
      <x:c r="I44" s="46" t="n">
        <x:v>4</x:v>
      </x:c>
      <x:c r="J44" s="46" t="n">
        <x:v>5</x:v>
      </x:c>
      <x:c r="K44" s="46" t="n">
        <x:v>4</x:v>
      </x:c>
      <x:c r="L44" s="46" t="n">
        <x:v>4</x:v>
      </x:c>
      <x:c r="M44" s="46" t="n">
        <x:v>5</x:v>
      </x:c>
      <x:c r="N44" s="46" t="n">
        <x:v>5</x:v>
      </x:c>
      <x:c r="O44" s="46" t="n">
        <x:v>5</x:v>
      </x:c>
      <x:c r="P44" s="46" t="n">
        <x:v>5</x:v>
      </x:c>
      <x:c r="Q44" s="46" t="n">
        <x:v>5</x:v>
      </x:c>
      <x:c r="R44" s="46" t="n">
        <x:v>5</x:v>
      </x:c>
      <x:c r="S44" s="46" t="n">
        <x:v>5</x:v>
      </x:c>
      <x:c r="T44" s="46" t="n">
        <x:v>5</x:v>
      </x:c>
      <x:c r="U44" s="46" t="n">
        <x:v>5</x:v>
      </x:c>
      <x:c r="V44" s="46" t="n">
        <x:v>5</x:v>
      </x:c>
      <x:c r="W44" s="46" t="n">
        <x:v>5</x:v>
      </x:c>
      <x:c r="X44" s="46" t="n">
        <x:v>5</x:v>
      </x:c>
      <x:c r="Y44" s="46" t="n">
        <x:v>5</x:v>
      </x:c>
      <x:c r="Z44" s="46" t="n">
        <x:v>5</x:v>
      </x:c>
      <x:c r="AA44" s="46" t="n">
        <x:v>4</x:v>
      </x:c>
      <x:c r="AB44" s="46" t="n">
        <x:v>5</x:v>
      </x:c>
      <x:c r="AC44" s="46" t="n">
        <x:v>4</x:v>
      </x:c>
      <x:c r="AD44" s="46" t="n">
        <x:v>4</x:v>
      </x:c>
      <x:c r="AE44" s="46" t="n">
        <x:v>4</x:v>
      </x:c>
      <x:c r="AF44" s="46" t="n">
        <x:v>4</x:v>
      </x:c>
      <x:c r="AG44" s="46" t="n">
        <x:v>4</x:v>
      </x:c>
      <x:c r="AH44" s="46" t="n">
        <x:f>AVERAGE(H44:N44)</x:f>
        <x:v>4.428571428571429</x:v>
      </x:c>
      <x:c r="AI44" s="46" t="n">
        <x:f>AVERAGE(O44:T44)</x:f>
        <x:v>5</x:v>
      </x:c>
      <x:c r="AJ44" s="46" t="n">
        <x:f>AVERAGE(U44:Z44)</x:f>
        <x:v>5</x:v>
      </x:c>
      <x:c r="AK44" s="46" t="n">
        <x:f>AVERAGE(AA44:AG44)</x:f>
        <x:v>4.142857142857143</x:v>
      </x:c>
    </x:row>
    <x:row r="45">
      <x:c r="A45" s="44" t="str">
        <x:v>Digital-53</x:v>
      </x:c>
      <x:c r="B45" s="44" t="str">
        <x:v>digital</x:v>
      </x:c>
      <x:c r="C45" s="44" t="str">
        <x:v>25–34</x:v>
      </x:c>
      <x:c r="D45" s="44" t="str">
        <x:v>5–10 years</x:v>
      </x:c>
      <x:c r="E45" s="44" t="str">
        <x:v>Officer</x:v>
      </x:c>
      <x:c r="F45" s="45" t="n">
        <x:v>0</x:v>
      </x:c>
      <x:c r="G45" s="45" t="n">
        <x:v>0</x:v>
      </x:c>
      <x:c r="H45" s="46" t="n">
        <x:v>5</x:v>
      </x:c>
      <x:c r="I45" s="46" t="n">
        <x:v>5</x:v>
      </x:c>
      <x:c r="J45" s="46" t="n">
        <x:v>5</x:v>
      </x:c>
      <x:c r="K45" s="46" t="n">
        <x:v>5</x:v>
      </x:c>
      <x:c r="L45" s="46" t="n">
        <x:v>5</x:v>
      </x:c>
      <x:c r="M45" s="46" t="n">
        <x:v>5</x:v>
      </x:c>
      <x:c r="N45" s="46" t="n">
        <x:v>5</x:v>
      </x:c>
      <x:c r="O45" s="46" t="n">
        <x:v>5</x:v>
      </x:c>
      <x:c r="P45" s="46" t="n">
        <x:v>5</x:v>
      </x:c>
      <x:c r="Q45" s="46" t="n">
        <x:v>5</x:v>
      </x:c>
      <x:c r="R45" s="46" t="n">
        <x:v>5</x:v>
      </x:c>
      <x:c r="S45" s="46" t="n">
        <x:v>5</x:v>
      </x:c>
      <x:c r="T45" s="46" t="n">
        <x:v>5</x:v>
      </x:c>
      <x:c r="U45" s="46" t="n">
        <x:v>5</x:v>
      </x:c>
      <x:c r="V45" s="46" t="n">
        <x:v>5</x:v>
      </x:c>
      <x:c r="W45" s="46" t="n">
        <x:v>5</x:v>
      </x:c>
      <x:c r="X45" s="46" t="n">
        <x:v>5</x:v>
      </x:c>
      <x:c r="Y45" s="46" t="n">
        <x:v>5</x:v>
      </x:c>
      <x:c r="Z45" s="46" t="n">
        <x:v>5</x:v>
      </x:c>
      <x:c r="AA45" s="46" t="n">
        <x:v>5</x:v>
      </x:c>
      <x:c r="AB45" s="46" t="n">
        <x:v>5</x:v>
      </x:c>
      <x:c r="AC45" s="46" t="n">
        <x:v>5</x:v>
      </x:c>
      <x:c r="AD45" s="46" t="n">
        <x:v>5</x:v>
      </x:c>
      <x:c r="AE45" s="46" t="n">
        <x:v>5</x:v>
      </x:c>
      <x:c r="AF45" s="46" t="n">
        <x:v>5</x:v>
      </x:c>
      <x:c r="AG45" s="46" t="n">
        <x:v>5</x:v>
      </x:c>
      <x:c r="AH45" s="46" t="n">
        <x:f>AVERAGE(H45:N45)</x:f>
        <x:v>5</x:v>
      </x:c>
      <x:c r="AI45" s="46" t="n">
        <x:f>AVERAGE(O45:T45)</x:f>
        <x:v>5</x:v>
      </x:c>
      <x:c r="AJ45" s="46" t="n">
        <x:f>AVERAGE(U45:Z45)</x:f>
        <x:v>5</x:v>
      </x:c>
      <x:c r="AK45" s="46" t="n">
        <x:f>AVERAGE(AA45:AG45)</x:f>
        <x:v>5</x:v>
      </x:c>
    </x:row>
    <x:row r="46">
      <x:c r="A46" s="44" t="str">
        <x:v>Digital-56</x:v>
      </x:c>
      <x:c r="B46" s="44" t="str">
        <x:v>digital</x:v>
      </x:c>
      <x:c r="C46" s="44" t="str">
        <x:v>35–44</x:v>
      </x:c>
      <x:c r="D46" s="44" t="str">
        <x:v>11–20 years</x:v>
      </x:c>
      <x:c r="E46" s="44" t="str">
        <x:v>Officer</x:v>
      </x:c>
      <x:c r="F46" s="45" t="n">
        <x:v>0</x:v>
      </x:c>
      <x:c r="G46" s="45" t="n">
        <x:v>0</x:v>
      </x:c>
      <x:c r="H46" s="46" t="n">
        <x:v>1</x:v>
      </x:c>
      <x:c r="I46" s="46" t="n">
        <x:v>2</x:v>
      </x:c>
      <x:c r="J46" s="46" t="n">
        <x:v>3</x:v>
      </x:c>
      <x:c r="K46" s="46" t="n">
        <x:v>4</x:v>
      </x:c>
      <x:c r="L46" s="46" t="n">
        <x:v>5</x:v>
      </x:c>
      <x:c r="M46" s="46" t="n">
        <x:v>5</x:v>
      </x:c>
      <x:c r="N46" s="46" t="n">
        <x:v>4</x:v>
      </x:c>
      <x:c r="O46" s="46" t="n">
        <x:v>5</x:v>
      </x:c>
      <x:c r="P46" s="46" t="n">
        <x:v>4</x:v>
      </x:c>
      <x:c r="Q46" s="46" t="n">
        <x:v>4</x:v>
      </x:c>
      <x:c r="R46" s="46" t="n">
        <x:v>4</x:v>
      </x:c>
      <x:c r="S46" s="46" t="n">
        <x:v>4</x:v>
      </x:c>
      <x:c r="T46" s="46" t="n">
        <x:v>4</x:v>
      </x:c>
      <x:c r="U46" s="46" t="n">
        <x:v>2</x:v>
      </x:c>
      <x:c r="V46" s="46" t="n">
        <x:v>5</x:v>
      </x:c>
      <x:c r="W46" s="46" t="n">
        <x:v>5</x:v>
      </x:c>
      <x:c r="X46" s="46" t="n">
        <x:v>5</x:v>
      </x:c>
      <x:c r="Y46" s="46" t="n">
        <x:v>5</x:v>
      </x:c>
      <x:c r="Z46" s="46" t="n">
        <x:v>5</x:v>
      </x:c>
      <x:c r="AA46" s="46" t="n">
        <x:v>5</x:v>
      </x:c>
      <x:c r="AB46" s="46" t="n">
        <x:v>4</x:v>
      </x:c>
      <x:c r="AC46" s="46" t="n">
        <x:v>4</x:v>
      </x:c>
      <x:c r="AD46" s="46" t="n">
        <x:v>4</x:v>
      </x:c>
      <x:c r="AE46" s="46" t="n">
        <x:v>4</x:v>
      </x:c>
      <x:c r="AF46" s="46" t="n">
        <x:v>4</x:v>
      </x:c>
      <x:c r="AG46" s="46" t="n">
        <x:v>5</x:v>
      </x:c>
      <x:c r="AH46" s="46" t="n">
        <x:f>AVERAGE(H46:N46)</x:f>
        <x:v>3.4285714285714284</x:v>
      </x:c>
      <x:c r="AI46" s="46" t="n">
        <x:f>AVERAGE(O46:T46)</x:f>
        <x:v>4.166666666666667</x:v>
      </x:c>
      <x:c r="AJ46" s="46" t="n">
        <x:f>AVERAGE(U46:Z46)</x:f>
        <x:v>4.5</x:v>
      </x:c>
      <x:c r="AK46" s="46" t="n">
        <x:f>AVERAGE(AA46:AG46)</x:f>
        <x:v>4.285714285714286</x:v>
      </x:c>
    </x:row>
    <x:row r="47">
      <x:c r="A47" s="44" t="str">
        <x:v>Digital-58</x:v>
      </x:c>
      <x:c r="B47" s="44" t="str">
        <x:v>digital</x:v>
      </x:c>
      <x:c r="C47" s="44" t="str">
        <x:v>25–34</x:v>
      </x:c>
      <x:c r="D47" s="44" t="str">
        <x:v>5–10 years</x:v>
      </x:c>
      <x:c r="E47" s="44" t="str">
        <x:v>Managerial</x:v>
      </x:c>
      <x:c r="F47" s="45" t="n">
        <x:v>0</x:v>
      </x:c>
      <x:c r="G47" s="45" t="n">
        <x:v>0</x:v>
      </x:c>
      <x:c r="H47" s="46" t="n">
        <x:v>4</x:v>
      </x:c>
      <x:c r="I47" s="46" t="n">
        <x:v>4</x:v>
      </x:c>
      <x:c r="J47" s="46" t="n">
        <x:v>5</x:v>
      </x:c>
      <x:c r="K47" s="46" t="n">
        <x:v>4</x:v>
      </x:c>
      <x:c r="L47" s="46" t="n">
        <x:v>5</x:v>
      </x:c>
      <x:c r="M47" s="46" t="n">
        <x:v>5</x:v>
      </x:c>
      <x:c r="N47" s="46" t="n">
        <x:v>5</x:v>
      </x:c>
      <x:c r="O47" s="46" t="n">
        <x:v>4</x:v>
      </x:c>
      <x:c r="P47" s="46" t="n">
        <x:v>4</x:v>
      </x:c>
      <x:c r="Q47" s="46" t="n">
        <x:v>4</x:v>
      </x:c>
      <x:c r="R47" s="46" t="n">
        <x:v>4</x:v>
      </x:c>
      <x:c r="S47" s="46" t="n">
        <x:v>4</x:v>
      </x:c>
      <x:c r="T47" s="46" t="n">
        <x:v>4</x:v>
      </x:c>
      <x:c r="U47" s="46" t="n">
        <x:v>4</x:v>
      </x:c>
      <x:c r="V47" s="46" t="n">
        <x:v>2</x:v>
      </x:c>
      <x:c r="W47" s="46" t="n">
        <x:v>4</x:v>
      </x:c>
      <x:c r="X47" s="46" t="n">
        <x:v>4</x:v>
      </x:c>
      <x:c r="Y47" s="46" t="n">
        <x:v>3</x:v>
      </x:c>
      <x:c r="Z47" s="46" t="n">
        <x:v>4</x:v>
      </x:c>
      <x:c r="AA47" s="46" t="n">
        <x:v>4</x:v>
      </x:c>
      <x:c r="AB47" s="46" t="n">
        <x:v>4</x:v>
      </x:c>
      <x:c r="AC47" s="46" t="n">
        <x:v>4</x:v>
      </x:c>
      <x:c r="AD47" s="46" t="n">
        <x:v>4</x:v>
      </x:c>
      <x:c r="AE47" s="46" t="n">
        <x:v>4</x:v>
      </x:c>
      <x:c r="AF47" s="46" t="n">
        <x:v>4</x:v>
      </x:c>
      <x:c r="AG47" s="46" t="n">
        <x:v>4</x:v>
      </x:c>
      <x:c r="AH47" s="46" t="n">
        <x:f>AVERAGE(H47:N47)</x:f>
        <x:v>4.571428571428571</x:v>
      </x:c>
      <x:c r="AI47" s="46" t="n">
        <x:f>AVERAGE(O47:T47)</x:f>
        <x:v>4</x:v>
      </x:c>
      <x:c r="AJ47" s="46" t="n">
        <x:f>AVERAGE(U47:Z47)</x:f>
        <x:v>3.5</x:v>
      </x:c>
      <x:c r="AK47" s="46" t="n">
        <x:f>AVERAGE(AA47:AG47)</x:f>
        <x:v>4</x:v>
      </x:c>
    </x:row>
    <x:row r="48">
      <x:c r="A48" s="44" t="str">
        <x:v>Digital-60</x:v>
      </x:c>
      <x:c r="B48" s="44" t="str">
        <x:v>digital</x:v>
      </x:c>
      <x:c r="C48" s="44" t="str">
        <x:v>55 and above</x:v>
      </x:c>
      <x:c r="D48" s="44" t="str">
        <x:v>Above 20 years</x:v>
      </x:c>
      <x:c r="E48" s="44" t="str">
        <x:v>Managerial</x:v>
      </x:c>
      <x:c r="F48" s="45" t="n">
        <x:v>0</x:v>
      </x:c>
      <x:c r="G48" s="45" t="n">
        <x:v>0</x:v>
      </x:c>
      <x:c r="H48" s="46" t="n">
        <x:v>5</x:v>
      </x:c>
      <x:c r="I48" s="46" t="n">
        <x:v>5</x:v>
      </x:c>
      <x:c r="J48" s="46" t="n">
        <x:v>5</x:v>
      </x:c>
      <x:c r="K48" s="46" t="n">
        <x:v>5</x:v>
      </x:c>
      <x:c r="L48" s="46" t="n">
        <x:v>5</x:v>
      </x:c>
      <x:c r="M48" s="46" t="n">
        <x:v>5</x:v>
      </x:c>
      <x:c r="N48" s="46" t="n">
        <x:v>5</x:v>
      </x:c>
      <x:c r="O48" s="46" t="n">
        <x:v>5</x:v>
      </x:c>
      <x:c r="P48" s="46" t="n">
        <x:v>5</x:v>
      </x:c>
      <x:c r="Q48" s="46" t="n">
        <x:v>5</x:v>
      </x:c>
      <x:c r="R48" s="46" t="n">
        <x:v>5</x:v>
      </x:c>
      <x:c r="S48" s="46" t="n">
        <x:v>5</x:v>
      </x:c>
      <x:c r="T48" s="46" t="n">
        <x:v>5</x:v>
      </x:c>
      <x:c r="U48" s="46" t="n">
        <x:v>5</x:v>
      </x:c>
      <x:c r="V48" s="46" t="n">
        <x:v>5</x:v>
      </x:c>
      <x:c r="W48" s="46" t="n">
        <x:v>5</x:v>
      </x:c>
      <x:c r="X48" s="46" t="n">
        <x:v>5</x:v>
      </x:c>
      <x:c r="Y48" s="46" t="n">
        <x:v>5</x:v>
      </x:c>
      <x:c r="Z48" s="46" t="n">
        <x:v>5</x:v>
      </x:c>
      <x:c r="AA48" s="46" t="n">
        <x:v>5</x:v>
      </x:c>
      <x:c r="AB48" s="46" t="n">
        <x:v>5</x:v>
      </x:c>
      <x:c r="AC48" s="46" t="n">
        <x:v>5</x:v>
      </x:c>
      <x:c r="AD48" s="46" t="n">
        <x:v>5</x:v>
      </x:c>
      <x:c r="AE48" s="46" t="n">
        <x:v>5</x:v>
      </x:c>
      <x:c r="AF48" s="46" t="n">
        <x:v>5</x:v>
      </x:c>
      <x:c r="AG48" s="46" t="n">
        <x:v>5</x:v>
      </x:c>
      <x:c r="AH48" s="46" t="n">
        <x:f>AVERAGE(H48:N48)</x:f>
        <x:v>5</x:v>
      </x:c>
      <x:c r="AI48" s="46" t="n">
        <x:f>AVERAGE(O48:T48)</x:f>
        <x:v>5</x:v>
      </x:c>
      <x:c r="AJ48" s="46" t="n">
        <x:f>AVERAGE(U48:Z48)</x:f>
        <x:v>5</x:v>
      </x:c>
      <x:c r="AK48" s="46" t="n">
        <x:f>AVERAGE(AA48:AG48)</x:f>
        <x:v>5</x:v>
      </x:c>
    </x:row>
    <x:row r="49">
      <x:c r="A49" s="44" t="str">
        <x:v>Digital-61</x:v>
      </x:c>
      <x:c r="B49" s="44" t="str">
        <x:v>digital</x:v>
      </x:c>
      <x:c r="C49" s="44" t="str">
        <x:v>35–44</x:v>
      </x:c>
      <x:c r="D49" s="44" t="str">
        <x:v>11–20 years</x:v>
      </x:c>
      <x:c r="E49" s="44" t="str">
        <x:v>Managerial</x:v>
      </x:c>
      <x:c r="F49" s="45" t="n">
        <x:v>0</x:v>
      </x:c>
      <x:c r="G49" s="45" t="n">
        <x:v>0</x:v>
      </x:c>
      <x:c r="H49" s="46" t="n">
        <x:v>4</x:v>
      </x:c>
      <x:c r="I49" s="46" t="n">
        <x:v>4</x:v>
      </x:c>
      <x:c r="J49" s="46" t="n">
        <x:v>4</x:v>
      </x:c>
      <x:c r="K49" s="46" t="n">
        <x:v>4</x:v>
      </x:c>
      <x:c r="L49" s="46" t="n">
        <x:v>4</x:v>
      </x:c>
      <x:c r="M49" s="46" t="n">
        <x:v>4</x:v>
      </x:c>
      <x:c r="N49" s="46" t="n">
        <x:v>4</x:v>
      </x:c>
      <x:c r="O49" s="46" t="n">
        <x:v>4</x:v>
      </x:c>
      <x:c r="P49" s="46" t="n">
        <x:v>4</x:v>
      </x:c>
      <x:c r="Q49" s="46" t="n">
        <x:v>4</x:v>
      </x:c>
      <x:c r="R49" s="46" t="n">
        <x:v>4</x:v>
      </x:c>
      <x:c r="S49" s="46" t="n">
        <x:v>4</x:v>
      </x:c>
      <x:c r="T49" s="46" t="n">
        <x:v>4</x:v>
      </x:c>
      <x:c r="U49" s="46" t="n">
        <x:v>5</x:v>
      </x:c>
      <x:c r="V49" s="46" t="n">
        <x:v>5</x:v>
      </x:c>
      <x:c r="W49" s="46" t="n">
        <x:v>5</x:v>
      </x:c>
      <x:c r="X49" s="46" t="n">
        <x:v>5</x:v>
      </x:c>
      <x:c r="Y49" s="46" t="n">
        <x:v>5</x:v>
      </x:c>
      <x:c r="Z49" s="46" t="n">
        <x:v>5</x:v>
      </x:c>
      <x:c r="AA49" s="46" t="n">
        <x:v>4</x:v>
      </x:c>
      <x:c r="AB49" s="46" t="n">
        <x:v>4</x:v>
      </x:c>
      <x:c r="AC49" s="46" t="n">
        <x:v>4</x:v>
      </x:c>
      <x:c r="AD49" s="46" t="n">
        <x:v>4</x:v>
      </x:c>
      <x:c r="AE49" s="46" t="n">
        <x:v>4</x:v>
      </x:c>
      <x:c r="AF49" s="46" t="n">
        <x:v>4</x:v>
      </x:c>
      <x:c r="AG49" s="46" t="n">
        <x:v>4</x:v>
      </x:c>
      <x:c r="AH49" s="46" t="n">
        <x:f>AVERAGE(H49:N49)</x:f>
        <x:v>4</x:v>
      </x:c>
      <x:c r="AI49" s="46" t="n">
        <x:f>AVERAGE(O49:T49)</x:f>
        <x:v>4</x:v>
      </x:c>
      <x:c r="AJ49" s="46" t="n">
        <x:f>AVERAGE(U49:Z49)</x:f>
        <x:v>5</x:v>
      </x:c>
      <x:c r="AK49" s="46" t="n">
        <x:f>AVERAGE(AA49:AG49)</x:f>
        <x:v>4</x:v>
      </x:c>
    </x:row>
    <x:row r="50">
      <x:c r="A50" s="44" t="str">
        <x:v>Digital-62</x:v>
      </x:c>
      <x:c r="B50" s="44" t="str">
        <x:v>digital</x:v>
      </x:c>
      <x:c r="C50" s="44" t="str">
        <x:v>35–44</x:v>
      </x:c>
      <x:c r="D50" s="44" t="str">
        <x:v>Above 20 years</x:v>
      </x:c>
      <x:c r="E50" s="44" t="str">
        <x:v>Managerial</x:v>
      </x:c>
      <x:c r="F50" s="45" t="n">
        <x:v>0</x:v>
      </x:c>
      <x:c r="G50" s="45" t="n">
        <x:v>0</x:v>
      </x:c>
      <x:c r="H50" s="46" t="n">
        <x:v>4</x:v>
      </x:c>
      <x:c r="I50" s="46" t="n">
        <x:v>4</x:v>
      </x:c>
      <x:c r="J50" s="46" t="n">
        <x:v>5</x:v>
      </x:c>
      <x:c r="K50" s="46" t="n">
        <x:v>4</x:v>
      </x:c>
      <x:c r="L50" s="46" t="n">
        <x:v>4</x:v>
      </x:c>
      <x:c r="M50" s="46" t="n">
        <x:v>4</x:v>
      </x:c>
      <x:c r="N50" s="46" t="n">
        <x:v>4</x:v>
      </x:c>
      <x:c r="O50" s="46" t="n">
        <x:v>4</x:v>
      </x:c>
      <x:c r="P50" s="46" t="n">
        <x:v>4</x:v>
      </x:c>
      <x:c r="Q50" s="46" t="n">
        <x:v>4</x:v>
      </x:c>
      <x:c r="R50" s="46" t="n">
        <x:v>4</x:v>
      </x:c>
      <x:c r="S50" s="46" t="n">
        <x:v>4</x:v>
      </x:c>
      <x:c r="T50" s="46" t="n">
        <x:v>4</x:v>
      </x:c>
      <x:c r="U50" s="46" t="n">
        <x:v>4</x:v>
      </x:c>
      <x:c r="V50" s="46" t="n">
        <x:v>4</x:v>
      </x:c>
      <x:c r="W50" s="46" t="n">
        <x:v>4</x:v>
      </x:c>
      <x:c r="X50" s="46" t="n">
        <x:v>4</x:v>
      </x:c>
      <x:c r="Y50" s="46" t="n">
        <x:v>4</x:v>
      </x:c>
      <x:c r="Z50" s="46" t="n">
        <x:v>5</x:v>
      </x:c>
      <x:c r="AA50" s="46" t="n">
        <x:v>4</x:v>
      </x:c>
      <x:c r="AB50" s="46" t="n">
        <x:v>4</x:v>
      </x:c>
      <x:c r="AC50" s="46" t="n">
        <x:v>4</x:v>
      </x:c>
      <x:c r="AD50" s="46" t="n">
        <x:v>4</x:v>
      </x:c>
      <x:c r="AE50" s="46" t="n">
        <x:v>4</x:v>
      </x:c>
      <x:c r="AF50" s="46" t="n">
        <x:v>4</x:v>
      </x:c>
      <x:c r="AG50" s="46" t="n">
        <x:v>5</x:v>
      </x:c>
      <x:c r="AH50" s="46" t="n">
        <x:f>AVERAGE(H50:N50)</x:f>
        <x:v>4.142857142857143</x:v>
      </x:c>
      <x:c r="AI50" s="46" t="n">
        <x:f>AVERAGE(O50:T50)</x:f>
        <x:v>4</x:v>
      </x:c>
      <x:c r="AJ50" s="46" t="n">
        <x:f>AVERAGE(U50:Z50)</x:f>
        <x:v>4.166666666666667</x:v>
      </x:c>
      <x:c r="AK50" s="46" t="n">
        <x:f>AVERAGE(AA50:AG50)</x:f>
        <x:v>4.142857142857143</x:v>
      </x:c>
    </x:row>
    <x:row r="51">
      <x:c r="A51" s="44" t="str">
        <x:v>Manual-01</x:v>
      </x:c>
      <x:c r="B51" s="44" t="str">
        <x:v>manual</x:v>
      </x:c>
      <x:c r="C51" s="44" t="str">
        <x:v>35–44</x:v>
      </x:c>
      <x:c r="D51" s="44" t="str">
        <x:v>11–20 years</x:v>
      </x:c>
      <x:c r="E51" s="44" t="str">
        <x:v>Clerical</x:v>
      </x:c>
      <x:c r="F51" s="45" t="n">
        <x:v>0</x:v>
      </x:c>
      <x:c r="G51" s="45" t="n">
        <x:v>0</x:v>
      </x:c>
      <x:c r="H51" s="46" t="n">
        <x:v>4</x:v>
      </x:c>
      <x:c r="I51" s="46" t="n">
        <x:v>5</x:v>
      </x:c>
      <x:c r="J51" s="46" t="n">
        <x:v>4</x:v>
      </x:c>
      <x:c r="K51" s="46" t="n">
        <x:v>4</x:v>
      </x:c>
      <x:c r="L51" s="46" t="n">
        <x:v>4</x:v>
      </x:c>
      <x:c r="M51" s="46" t="n">
        <x:v>4</x:v>
      </x:c>
      <x:c r="N51" s="46" t="n">
        <x:v>5</x:v>
      </x:c>
      <x:c r="O51" s="46" t="n">
        <x:v>5</x:v>
      </x:c>
      <x:c r="P51" s="46" t="n">
        <x:v>5</x:v>
      </x:c>
      <x:c r="Q51" s="46" t="n">
        <x:v>5</x:v>
      </x:c>
      <x:c r="R51" s="46" t="n">
        <x:v>5</x:v>
      </x:c>
      <x:c r="S51" s="46" t="n">
        <x:v>5</x:v>
      </x:c>
      <x:c r="T51" s="46" t="n">
        <x:v>5</x:v>
      </x:c>
      <x:c r="U51" s="46" t="n">
        <x:v>4</x:v>
      </x:c>
      <x:c r="V51" s="46" t="n">
        <x:v>4</x:v>
      </x:c>
      <x:c r="W51" s="46" t="n">
        <x:v>4</x:v>
      </x:c>
      <x:c r="X51" s="46" t="n">
        <x:v>4</x:v>
      </x:c>
      <x:c r="Y51" s="46" t="n">
        <x:v>4</x:v>
      </x:c>
      <x:c r="Z51" s="46" t="n">
        <x:v>4</x:v>
      </x:c>
      <x:c r="AA51" s="46" t="n">
        <x:v>4</x:v>
      </x:c>
      <x:c r="AB51" s="46" t="n">
        <x:v>4</x:v>
      </x:c>
      <x:c r="AC51" s="46" t="n">
        <x:v>5</x:v>
      </x:c>
      <x:c r="AD51" s="46" t="n">
        <x:v>4</x:v>
      </x:c>
      <x:c r="AE51" s="46" t="n">
        <x:v>4</x:v>
      </x:c>
      <x:c r="AF51" s="46" t="n">
        <x:v>4</x:v>
      </x:c>
      <x:c r="AG51" s="46" t="n">
        <x:v>5</x:v>
      </x:c>
      <x:c r="AH51" s="46" t="n">
        <x:f>AVERAGE(H51:N51)</x:f>
        <x:v>4.285714285714286</x:v>
      </x:c>
      <x:c r="AI51" s="46" t="n">
        <x:f>AVERAGE(O51:T51)</x:f>
        <x:v>5</x:v>
      </x:c>
      <x:c r="AJ51" s="46" t="n">
        <x:f>AVERAGE(U51:Z51)</x:f>
        <x:v>4</x:v>
      </x:c>
      <x:c r="AK51" s="46" t="n">
        <x:f>AVERAGE(AA51:AG51)</x:f>
        <x:v>4.285714285714286</x:v>
      </x:c>
    </x:row>
    <x:row r="52">
      <x:c r="A52" s="44" t="str">
        <x:v>Manual-02</x:v>
      </x:c>
      <x:c r="B52" s="44" t="str">
        <x:v>manual</x:v>
      </x:c>
      <x:c r="C52" s="44" t="str">
        <x:v>25–34</x:v>
      </x:c>
      <x:c r="D52" s="44" t="str">
        <x:v>5–10 years</x:v>
      </x:c>
      <x:c r="E52" s="44" t="str">
        <x:v>Officer</x:v>
      </x:c>
      <x:c r="F52" s="45" t="n">
        <x:v>0</x:v>
      </x:c>
      <x:c r="G52" s="45" t="n">
        <x:v>0</x:v>
      </x:c>
      <x:c r="H52" s="46" t="n">
        <x:v>4</x:v>
      </x:c>
      <x:c r="I52" s="46" t="n">
        <x:v>4</x:v>
      </x:c>
      <x:c r="J52" s="46" t="n">
        <x:v>4</x:v>
      </x:c>
      <x:c r="K52" s="46" t="n">
        <x:v>4</x:v>
      </x:c>
      <x:c r="L52" s="46" t="n">
        <x:v>4</x:v>
      </x:c>
      <x:c r="M52" s="46" t="n">
        <x:v>4</x:v>
      </x:c>
      <x:c r="N52" s="46" t="n">
        <x:v>4</x:v>
      </x:c>
      <x:c r="O52" s="46" t="n">
        <x:v>5</x:v>
      </x:c>
      <x:c r="P52" s="46" t="n">
        <x:v>5</x:v>
      </x:c>
      <x:c r="Q52" s="46" t="n">
        <x:v>5</x:v>
      </x:c>
      <x:c r="R52" s="46" t="n">
        <x:v>5</x:v>
      </x:c>
      <x:c r="S52" s="46" t="n">
        <x:v>5</x:v>
      </x:c>
      <x:c r="T52" s="46" t="n">
        <x:v>5</x:v>
      </x:c>
      <x:c r="U52" s="46" t="n">
        <x:v>4</x:v>
      </x:c>
      <x:c r="V52" s="46" t="n">
        <x:v>4</x:v>
      </x:c>
      <x:c r="W52" s="46" t="n">
        <x:v>4</x:v>
      </x:c>
      <x:c r="X52" s="46" t="n">
        <x:v>4</x:v>
      </x:c>
      <x:c r="Y52" s="46" t="n">
        <x:v>4</x:v>
      </x:c>
      <x:c r="Z52" s="46" t="n">
        <x:v>4</x:v>
      </x:c>
      <x:c r="AA52" s="46" t="n">
        <x:v>4</x:v>
      </x:c>
      <x:c r="AB52" s="46" t="n">
        <x:v>4</x:v>
      </x:c>
      <x:c r="AC52" s="46" t="n">
        <x:v>4</x:v>
      </x:c>
      <x:c r="AD52" s="46" t="n">
        <x:v>4</x:v>
      </x:c>
      <x:c r="AE52" s="46" t="n">
        <x:v>4</x:v>
      </x:c>
      <x:c r="AF52" s="46" t="n">
        <x:v>4</x:v>
      </x:c>
      <x:c r="AG52" s="46" t="n">
        <x:v>4</x:v>
      </x:c>
      <x:c r="AH52" s="46" t="n">
        <x:f>AVERAGE(H52:N52)</x:f>
        <x:v>4</x:v>
      </x:c>
      <x:c r="AI52" s="46" t="n">
        <x:f>AVERAGE(O52:T52)</x:f>
        <x:v>5</x:v>
      </x:c>
      <x:c r="AJ52" s="46" t="n">
        <x:f>AVERAGE(U52:Z52)</x:f>
        <x:v>4</x:v>
      </x:c>
      <x:c r="AK52" s="46" t="n">
        <x:f>AVERAGE(AA52:AG52)</x:f>
        <x:v>4</x:v>
      </x:c>
    </x:row>
    <x:row r="53">
      <x:c r="A53" s="44" t="str">
        <x:v>Manual-03</x:v>
      </x:c>
      <x:c r="B53" s="44" t="str">
        <x:v>manual</x:v>
      </x:c>
      <x:c r="C53" s="44" t="str">
        <x:v>35–44</x:v>
      </x:c>
      <x:c r="D53" s="44" t="str">
        <x:v>11–20 years</x:v>
      </x:c>
      <x:c r="E53" s="44" t="str">
        <x:v>Clerical</x:v>
      </x:c>
      <x:c r="F53" s="45" t="n">
        <x:v>0</x:v>
      </x:c>
      <x:c r="G53" s="45" t="n">
        <x:v>0</x:v>
      </x:c>
      <x:c r="H53" s="46" t="n">
        <x:v>4</x:v>
      </x:c>
      <x:c r="I53" s="46" t="n">
        <x:v>4</x:v>
      </x:c>
      <x:c r="J53" s="46" t="n">
        <x:v>4</x:v>
      </x:c>
      <x:c r="K53" s="46" t="n">
        <x:v>4</x:v>
      </x:c>
      <x:c r="L53" s="46" t="n">
        <x:v>4</x:v>
      </x:c>
      <x:c r="M53" s="46" t="n">
        <x:v>4</x:v>
      </x:c>
      <x:c r="N53" s="46" t="n">
        <x:v>4</x:v>
      </x:c>
      <x:c r="O53" s="46" t="n">
        <x:v>4</x:v>
      </x:c>
      <x:c r="P53" s="46" t="n">
        <x:v>4</x:v>
      </x:c>
      <x:c r="Q53" s="46" t="n">
        <x:v>4</x:v>
      </x:c>
      <x:c r="R53" s="46" t="n">
        <x:v>4</x:v>
      </x:c>
      <x:c r="S53" s="46" t="n">
        <x:v>4</x:v>
      </x:c>
      <x:c r="T53" s="46" t="n">
        <x:v>4</x:v>
      </x:c>
      <x:c r="U53" s="46" t="n">
        <x:v>4</x:v>
      </x:c>
      <x:c r="V53" s="46" t="n">
        <x:v>4</x:v>
      </x:c>
      <x:c r="W53" s="46" t="n">
        <x:v>4</x:v>
      </x:c>
      <x:c r="X53" s="46" t="n">
        <x:v>4</x:v>
      </x:c>
      <x:c r="Y53" s="46" t="n">
        <x:v>4</x:v>
      </x:c>
      <x:c r="Z53" s="46" t="n">
        <x:v>4</x:v>
      </x:c>
      <x:c r="AA53" s="46" t="n">
        <x:v>4</x:v>
      </x:c>
      <x:c r="AB53" s="46" t="n">
        <x:v>4</x:v>
      </x:c>
      <x:c r="AC53" s="46" t="n">
        <x:v>4</x:v>
      </x:c>
      <x:c r="AD53" s="46" t="n">
        <x:v>4</x:v>
      </x:c>
      <x:c r="AE53" s="46" t="n">
        <x:v>4</x:v>
      </x:c>
      <x:c r="AF53" s="46" t="n">
        <x:v>4</x:v>
      </x:c>
      <x:c r="AG53" s="46" t="n">
        <x:v>4</x:v>
      </x:c>
      <x:c r="AH53" s="46" t="n">
        <x:f>AVERAGE(H53:N53)</x:f>
        <x:v>4</x:v>
      </x:c>
      <x:c r="AI53" s="46" t="n">
        <x:f>AVERAGE(O53:T53)</x:f>
        <x:v>4</x:v>
      </x:c>
      <x:c r="AJ53" s="46" t="n">
        <x:f>AVERAGE(U53:Z53)</x:f>
        <x:v>4</x:v>
      </x:c>
      <x:c r="AK53" s="46" t="n">
        <x:f>AVERAGE(AA53:AG53)</x:f>
        <x:v>4</x:v>
      </x:c>
    </x:row>
    <x:row r="54">
      <x:c r="A54" s="44" t="str">
        <x:v>Manual-04</x:v>
      </x:c>
      <x:c r="B54" s="44" t="str">
        <x:v>manual</x:v>
      </x:c>
      <x:c r="C54" s="44" t="str">
        <x:v>35–44</x:v>
      </x:c>
      <x:c r="D54" s="44" t="str">
        <x:v>11–20 years</x:v>
      </x:c>
      <x:c r="E54" s="44" t="str">
        <x:v>Officer</x:v>
      </x:c>
      <x:c r="F54" s="45" t="n">
        <x:v>0</x:v>
      </x:c>
      <x:c r="G54" s="45" t="n">
        <x:v>0</x:v>
      </x:c>
      <x:c r="H54" s="46" t="n">
        <x:v>4</x:v>
      </x:c>
      <x:c r="I54" s="46" t="n">
        <x:v>4</x:v>
      </x:c>
      <x:c r="J54" s="46" t="n">
        <x:v>4</x:v>
      </x:c>
      <x:c r="K54" s="46" t="n">
        <x:v>4</x:v>
      </x:c>
      <x:c r="L54" s="46" t="n">
        <x:v>4</x:v>
      </x:c>
      <x:c r="M54" s="46" t="n">
        <x:v>4</x:v>
      </x:c>
      <x:c r="N54" s="46" t="n">
        <x:v>4</x:v>
      </x:c>
      <x:c r="O54" s="46" t="n">
        <x:v>4</x:v>
      </x:c>
      <x:c r="P54" s="46" t="n">
        <x:v>4</x:v>
      </x:c>
      <x:c r="Q54" s="46" t="n">
        <x:v>4</x:v>
      </x:c>
      <x:c r="R54" s="46" t="n">
        <x:v>4</x:v>
      </x:c>
      <x:c r="S54" s="46" t="n">
        <x:v>4</x:v>
      </x:c>
      <x:c r="T54" s="46" t="n">
        <x:v>4</x:v>
      </x:c>
      <x:c r="U54" s="46" t="n">
        <x:v>4</x:v>
      </x:c>
      <x:c r="V54" s="46" t="n">
        <x:v>4</x:v>
      </x:c>
      <x:c r="W54" s="46" t="n">
        <x:v>4</x:v>
      </x:c>
      <x:c r="X54" s="46" t="n">
        <x:v>4</x:v>
      </x:c>
      <x:c r="Y54" s="46" t="n">
        <x:v>4</x:v>
      </x:c>
      <x:c r="Z54" s="46" t="n">
        <x:v>1</x:v>
      </x:c>
      <x:c r="AA54" s="46" t="n">
        <x:v>4</x:v>
      </x:c>
      <x:c r="AB54" s="46" t="n">
        <x:v>4</x:v>
      </x:c>
      <x:c r="AC54" s="46" t="n">
        <x:v>4</x:v>
      </x:c>
      <x:c r="AD54" s="46" t="n">
        <x:v>4</x:v>
      </x:c>
      <x:c r="AE54" s="46" t="n">
        <x:v>4</x:v>
      </x:c>
      <x:c r="AF54" s="46" t="n">
        <x:v>4</x:v>
      </x:c>
      <x:c r="AG54" s="46" t="n">
        <x:v>2</x:v>
      </x:c>
      <x:c r="AH54" s="46" t="n">
        <x:f>AVERAGE(H54:N54)</x:f>
        <x:v>4</x:v>
      </x:c>
      <x:c r="AI54" s="46" t="n">
        <x:f>AVERAGE(O54:T54)</x:f>
        <x:v>4</x:v>
      </x:c>
      <x:c r="AJ54" s="46" t="n">
        <x:f>AVERAGE(U54:Z54)</x:f>
        <x:v>3.5</x:v>
      </x:c>
      <x:c r="AK54" s="46" t="n">
        <x:f>AVERAGE(AA54:AG54)</x:f>
        <x:v>3.7142857142857144</x:v>
      </x:c>
    </x:row>
    <x:row r="55">
      <x:c r="A55" s="44" t="str">
        <x:v>Manual-06</x:v>
      </x:c>
      <x:c r="B55" s="44" t="str">
        <x:v>manual</x:v>
      </x:c>
      <x:c r="C55" s="44" t="str">
        <x:v>35–44</x:v>
      </x:c>
      <x:c r="D55" s="44" t="str">
        <x:v>11–20 years</x:v>
      </x:c>
      <x:c r="E55" s="44" t="str">
        <x:v>Clerical</x:v>
      </x:c>
      <x:c r="F55" s="45" t="n">
        <x:v>0</x:v>
      </x:c>
      <x:c r="G55" s="45" t="n">
        <x:v>0</x:v>
      </x:c>
      <x:c r="H55" s="46" t="n">
        <x:v>4</x:v>
      </x:c>
      <x:c r="I55" s="46" t="n">
        <x:v>4</x:v>
      </x:c>
      <x:c r="J55" s="46" t="n">
        <x:v>4</x:v>
      </x:c>
      <x:c r="K55" s="46" t="n">
        <x:v>4</x:v>
      </x:c>
      <x:c r="L55" s="46" t="n">
        <x:v>5</x:v>
      </x:c>
      <x:c r="M55" s="46" t="n">
        <x:v>5</x:v>
      </x:c>
      <x:c r="N55" s="46" t="n">
        <x:v>5</x:v>
      </x:c>
      <x:c r="O55" s="46" t="n">
        <x:v>5</x:v>
      </x:c>
      <x:c r="P55" s="46" t="n">
        <x:v>5</x:v>
      </x:c>
      <x:c r="Q55" s="46" t="n">
        <x:v>4</x:v>
      </x:c>
      <x:c r="R55" s="46" t="n">
        <x:v>4</x:v>
      </x:c>
      <x:c r="S55" s="46" t="n">
        <x:v>5</x:v>
      </x:c>
      <x:c r="T55" s="46" t="n">
        <x:v>4</x:v>
      </x:c>
      <x:c r="U55" s="46" t="n">
        <x:v>5</x:v>
      </x:c>
      <x:c r="V55" s="46" t="n">
        <x:v>5</x:v>
      </x:c>
      <x:c r="W55" s="46" t="n">
        <x:v>4</x:v>
      </x:c>
      <x:c r="X55" s="46" t="n">
        <x:v>5</x:v>
      </x:c>
      <x:c r="Y55" s="46" t="n">
        <x:v>4</x:v>
      </x:c>
      <x:c r="Z55" s="46" t="n">
        <x:v>5</x:v>
      </x:c>
      <x:c r="AA55" s="46" t="n">
        <x:v>5</x:v>
      </x:c>
      <x:c r="AB55" s="46" t="n">
        <x:v>5</x:v>
      </x:c>
      <x:c r="AC55" s="46" t="n">
        <x:v>5</x:v>
      </x:c>
      <x:c r="AD55" s="46" t="n">
        <x:v>5</x:v>
      </x:c>
      <x:c r="AE55" s="46" t="n">
        <x:v>5</x:v>
      </x:c>
      <x:c r="AF55" s="46" t="n">
        <x:v>5</x:v>
      </x:c>
      <x:c r="AG55" s="46" t="n">
        <x:v>5</x:v>
      </x:c>
      <x:c r="AH55" s="46" t="n">
        <x:f>AVERAGE(H55:N55)</x:f>
        <x:v>4.428571428571429</x:v>
      </x:c>
      <x:c r="AI55" s="46" t="n">
        <x:f>AVERAGE(O55:T55)</x:f>
        <x:v>4.5</x:v>
      </x:c>
      <x:c r="AJ55" s="46" t="n">
        <x:f>AVERAGE(U55:Z55)</x:f>
        <x:v>4.666666666666667</x:v>
      </x:c>
      <x:c r="AK55" s="46" t="n">
        <x:f>AVERAGE(AA55:AG55)</x:f>
        <x:v>5</x:v>
      </x:c>
    </x:row>
    <x:row r="56">
      <x:c r="A56" s="44" t="str">
        <x:v>Manual-07</x:v>
      </x:c>
      <x:c r="B56" s="44" t="str">
        <x:v>manual</x:v>
      </x:c>
      <x:c r="C56" s="44" t="str">
        <x:v>35–44</x:v>
      </x:c>
      <x:c r="D56" s="44" t="str">
        <x:v>11–20 years</x:v>
      </x:c>
      <x:c r="E56" s="44" t="str">
        <x:v>Managerial</x:v>
      </x:c>
      <x:c r="F56" s="45" t="n">
        <x:v>0</x:v>
      </x:c>
      <x:c r="G56" s="45" t="n">
        <x:v>0</x:v>
      </x:c>
      <x:c r="H56" s="46" t="n">
        <x:v>5</x:v>
      </x:c>
      <x:c r="I56" s="46" t="n">
        <x:v>5</x:v>
      </x:c>
      <x:c r="J56" s="46" t="n">
        <x:v>5</x:v>
      </x:c>
      <x:c r="K56" s="46" t="n">
        <x:v>5</x:v>
      </x:c>
      <x:c r="L56" s="46" t="n">
        <x:v>5</x:v>
      </x:c>
      <x:c r="M56" s="46" t="n">
        <x:v>5</x:v>
      </x:c>
      <x:c r="N56" s="46" t="n">
        <x:v>5</x:v>
      </x:c>
      <x:c r="O56" s="46" t="n">
        <x:v>5</x:v>
      </x:c>
      <x:c r="P56" s="46" t="n">
        <x:v>5</x:v>
      </x:c>
      <x:c r="Q56" s="46" t="n">
        <x:v>3</x:v>
      </x:c>
      <x:c r="R56" s="46" t="n">
        <x:v>5</x:v>
      </x:c>
      <x:c r="S56" s="46" t="n">
        <x:v>5</x:v>
      </x:c>
      <x:c r="T56" s="46" t="n">
        <x:v>3</x:v>
      </x:c>
      <x:c r="U56" s="46" t="n">
        <x:v>5</x:v>
      </x:c>
      <x:c r="V56" s="46" t="n">
        <x:v>5</x:v>
      </x:c>
      <x:c r="W56" s="46" t="n">
        <x:v>5</x:v>
      </x:c>
      <x:c r="X56" s="46" t="n">
        <x:v>5</x:v>
      </x:c>
      <x:c r="Y56" s="46" t="n">
        <x:v>5</x:v>
      </x:c>
      <x:c r="Z56" s="46" t="n">
        <x:v>5</x:v>
      </x:c>
      <x:c r="AA56" s="46" t="n">
        <x:v>5</x:v>
      </x:c>
      <x:c r="AB56" s="46" t="n">
        <x:v>5</x:v>
      </x:c>
      <x:c r="AC56" s="46" t="n">
        <x:v>5</x:v>
      </x:c>
      <x:c r="AD56" s="46" t="n">
        <x:v>5</x:v>
      </x:c>
      <x:c r="AE56" s="46" t="n">
        <x:v>5</x:v>
      </x:c>
      <x:c r="AF56" s="46" t="n">
        <x:v>5</x:v>
      </x:c>
      <x:c r="AG56" s="46" t="n">
        <x:v>5</x:v>
      </x:c>
      <x:c r="AH56" s="46" t="n">
        <x:f>AVERAGE(H56:N56)</x:f>
        <x:v>5</x:v>
      </x:c>
      <x:c r="AI56" s="46" t="n">
        <x:f>AVERAGE(O56:T56)</x:f>
        <x:v>4.333333333333333</x:v>
      </x:c>
      <x:c r="AJ56" s="46" t="n">
        <x:f>AVERAGE(U56:Z56)</x:f>
        <x:v>5</x:v>
      </x:c>
      <x:c r="AK56" s="46" t="n">
        <x:f>AVERAGE(AA56:AG56)</x:f>
        <x:v>5</x:v>
      </x:c>
    </x:row>
    <x:row r="57">
      <x:c r="A57" s="44" t="str">
        <x:v>Manual-08</x:v>
      </x:c>
      <x:c r="B57" s="44" t="str">
        <x:v>manual</x:v>
      </x:c>
      <x:c r="C57" s="44" t="str">
        <x:v>25–34</x:v>
      </x:c>
      <x:c r="D57" s="44" t="str">
        <x:v>Below 5 years</x:v>
      </x:c>
      <x:c r="E57" s="44" t="str">
        <x:v>Officer</x:v>
      </x:c>
      <x:c r="F57" s="45" t="n">
        <x:v>0</x:v>
      </x:c>
      <x:c r="G57" s="45" t="n">
        <x:v>0</x:v>
      </x:c>
      <x:c r="H57" s="46" t="n">
        <x:v>5</x:v>
      </x:c>
      <x:c r="I57" s="46" t="n">
        <x:v>5</x:v>
      </x:c>
      <x:c r="J57" s="46" t="n">
        <x:v>5</x:v>
      </x:c>
      <x:c r="K57" s="46" t="n">
        <x:v>5</x:v>
      </x:c>
      <x:c r="L57" s="46" t="n">
        <x:v>5</x:v>
      </x:c>
      <x:c r="M57" s="46" t="n">
        <x:v>5</x:v>
      </x:c>
      <x:c r="N57" s="46" t="n">
        <x:v>5</x:v>
      </x:c>
      <x:c r="O57" s="46" t="n">
        <x:v>5</x:v>
      </x:c>
      <x:c r="P57" s="46" t="n">
        <x:v>5</x:v>
      </x:c>
      <x:c r="Q57" s="46" t="n">
        <x:v>5</x:v>
      </x:c>
      <x:c r="R57" s="46" t="n">
        <x:v>5</x:v>
      </x:c>
      <x:c r="S57" s="46" t="n">
        <x:v>5</x:v>
      </x:c>
      <x:c r="T57" s="46" t="n">
        <x:v>5</x:v>
      </x:c>
      <x:c r="U57" s="46" t="n">
        <x:v>5</x:v>
      </x:c>
      <x:c r="V57" s="46" t="n">
        <x:v>5</x:v>
      </x:c>
      <x:c r="W57" s="46" t="n">
        <x:v>5</x:v>
      </x:c>
      <x:c r="X57" s="46" t="n">
        <x:v>5</x:v>
      </x:c>
      <x:c r="Y57" s="46" t="n">
        <x:v>5</x:v>
      </x:c>
      <x:c r="Z57" s="46" t="n">
        <x:v>5</x:v>
      </x:c>
      <x:c r="AA57" s="46" t="n">
        <x:v>5</x:v>
      </x:c>
      <x:c r="AB57" s="46" t="n">
        <x:v>5</x:v>
      </x:c>
      <x:c r="AC57" s="46" t="n">
        <x:v>5</x:v>
      </x:c>
      <x:c r="AD57" s="46" t="n">
        <x:v>5</x:v>
      </x:c>
      <x:c r="AE57" s="46" t="n">
        <x:v>5</x:v>
      </x:c>
      <x:c r="AF57" s="46" t="n">
        <x:v>5</x:v>
      </x:c>
      <x:c r="AG57" s="46" t="n">
        <x:v>5</x:v>
      </x:c>
      <x:c r="AH57" s="46" t="n">
        <x:f>AVERAGE(H57:N57)</x:f>
        <x:v>5</x:v>
      </x:c>
      <x:c r="AI57" s="46" t="n">
        <x:f>AVERAGE(O57:T57)</x:f>
        <x:v>5</x:v>
      </x:c>
      <x:c r="AJ57" s="46" t="n">
        <x:f>AVERAGE(U57:Z57)</x:f>
        <x:v>5</x:v>
      </x:c>
      <x:c r="AK57" s="46" t="n">
        <x:f>AVERAGE(AA57:AG57)</x:f>
        <x:v>5</x:v>
      </x:c>
    </x:row>
    <x:row r="58">
      <x:c r="A58" s="44" t="str">
        <x:v>Manual-09</x:v>
      </x:c>
      <x:c r="B58" s="44" t="str">
        <x:v>manual</x:v>
      </x:c>
      <x:c r="C58" s="44" t="str">
        <x:v>35–44</x:v>
      </x:c>
      <x:c r="D58" s="44" t="str">
        <x:v>11–20 years</x:v>
      </x:c>
      <x:c r="E58" s="44" t="str">
        <x:v>Clerical</x:v>
      </x:c>
      <x:c r="F58" s="45" t="n">
        <x:v>0</x:v>
      </x:c>
      <x:c r="G58" s="45" t="n">
        <x:v>0</x:v>
      </x:c>
      <x:c r="H58" s="46" t="n">
        <x:v>4</x:v>
      </x:c>
      <x:c r="I58" s="46" t="n">
        <x:v>4</x:v>
      </x:c>
      <x:c r="J58" s="46" t="n">
        <x:v>5</x:v>
      </x:c>
      <x:c r="K58" s="46" t="n">
        <x:v>4</x:v>
      </x:c>
      <x:c r="L58" s="46" t="n">
        <x:v>4</x:v>
      </x:c>
      <x:c r="M58" s="46" t="n">
        <x:v>5</x:v>
      </x:c>
      <x:c r="N58" s="46" t="n">
        <x:v>4</x:v>
      </x:c>
      <x:c r="O58" s="46" t="n">
        <x:v>4</x:v>
      </x:c>
      <x:c r="P58" s="46" t="n">
        <x:v>4</x:v>
      </x:c>
      <x:c r="Q58" s="46" t="n">
        <x:v>4</x:v>
      </x:c>
      <x:c r="R58" s="46" t="n">
        <x:v>4</x:v>
      </x:c>
      <x:c r="S58" s="46" t="n">
        <x:v>4</x:v>
      </x:c>
      <x:c r="T58" s="46" t="n">
        <x:v>4</x:v>
      </x:c>
      <x:c r="U58" s="46" t="n">
        <x:v>5</x:v>
      </x:c>
      <x:c r="V58" s="46" t="n">
        <x:v>5</x:v>
      </x:c>
      <x:c r="W58" s="46" t="n">
        <x:v>4</x:v>
      </x:c>
      <x:c r="X58" s="46" t="n">
        <x:v>4</x:v>
      </x:c>
      <x:c r="Y58" s="46" t="n">
        <x:v>4</x:v>
      </x:c>
      <x:c r="Z58" s="46" t="n">
        <x:v>5</x:v>
      </x:c>
      <x:c r="AA58" s="46" t="n">
        <x:v>5</x:v>
      </x:c>
      <x:c r="AB58" s="46" t="n">
        <x:v>5</x:v>
      </x:c>
      <x:c r="AC58" s="46" t="n">
        <x:v>4</x:v>
      </x:c>
      <x:c r="AD58" s="46" t="n">
        <x:v>4</x:v>
      </x:c>
      <x:c r="AE58" s="46" t="n">
        <x:v>4</x:v>
      </x:c>
      <x:c r="AF58" s="46" t="n">
        <x:v>4</x:v>
      </x:c>
      <x:c r="AG58" s="46" t="n">
        <x:v>4</x:v>
      </x:c>
      <x:c r="AH58" s="46" t="n">
        <x:f>AVERAGE(H58:N58)</x:f>
        <x:v>4.285714285714286</x:v>
      </x:c>
      <x:c r="AI58" s="46" t="n">
        <x:f>AVERAGE(O58:T58)</x:f>
        <x:v>4</x:v>
      </x:c>
      <x:c r="AJ58" s="46" t="n">
        <x:f>AVERAGE(U58:Z58)</x:f>
        <x:v>4.5</x:v>
      </x:c>
      <x:c r="AK58" s="46" t="n">
        <x:f>AVERAGE(AA58:AG58)</x:f>
        <x:v>4.285714285714286</x:v>
      </x:c>
    </x:row>
    <x:row r="59">
      <x:c r="A59" s="44" t="str">
        <x:v>Manual-10</x:v>
      </x:c>
      <x:c r="B59" s="44" t="str">
        <x:v>manual</x:v>
      </x:c>
      <x:c r="C59" s="44" t="str">
        <x:v>35–44</x:v>
      </x:c>
      <x:c r="D59" s="44" t="str">
        <x:v>5–10 years</x:v>
      </x:c>
      <x:c r="E59" s="44" t="str">
        <x:v>Clerical</x:v>
      </x:c>
      <x:c r="F59" s="45" t="n">
        <x:v>0</x:v>
      </x:c>
      <x:c r="G59" s="45" t="n">
        <x:v>0</x:v>
      </x:c>
      <x:c r="H59" s="46" t="n">
        <x:v>3</x:v>
      </x:c>
      <x:c r="I59" s="46" t="n">
        <x:v>3</x:v>
      </x:c>
      <x:c r="J59" s="46" t="n">
        <x:v>3</x:v>
      </x:c>
      <x:c r="K59" s="46" t="n">
        <x:v>3</x:v>
      </x:c>
      <x:c r="L59" s="46" t="n">
        <x:v>3</x:v>
      </x:c>
      <x:c r="M59" s="46" t="n">
        <x:v>3</x:v>
      </x:c>
      <x:c r="N59" s="46" t="n">
        <x:v>3</x:v>
      </x:c>
      <x:c r="O59" s="46" t="n">
        <x:v>1</x:v>
      </x:c>
      <x:c r="P59" s="46" t="n">
        <x:v>1</x:v>
      </x:c>
      <x:c r="Q59" s="46" t="n">
        <x:v>1</x:v>
      </x:c>
      <x:c r="R59" s="46" t="n">
        <x:v>1</x:v>
      </x:c>
      <x:c r="S59" s="46" t="n">
        <x:v>1</x:v>
      </x:c>
      <x:c r="T59" s="46" t="n">
        <x:v>1</x:v>
      </x:c>
      <x:c r="U59" s="46" t="n">
        <x:v>4</x:v>
      </x:c>
      <x:c r="V59" s="46" t="n">
        <x:v>4</x:v>
      </x:c>
      <x:c r="W59" s="46" t="n">
        <x:v>4</x:v>
      </x:c>
      <x:c r="X59" s="46" t="n">
        <x:v>4</x:v>
      </x:c>
      <x:c r="Y59" s="46" t="n">
        <x:v>4</x:v>
      </x:c>
      <x:c r="Z59" s="46" t="n">
        <x:v>4</x:v>
      </x:c>
      <x:c r="AA59" s="46" t="n">
        <x:v>4</x:v>
      </x:c>
      <x:c r="AB59" s="46" t="n">
        <x:v>4</x:v>
      </x:c>
      <x:c r="AC59" s="46" t="n">
        <x:v>4</x:v>
      </x:c>
      <x:c r="AD59" s="46" t="n">
        <x:v>4</x:v>
      </x:c>
      <x:c r="AE59" s="46" t="n">
        <x:v>4</x:v>
      </x:c>
      <x:c r="AF59" s="46" t="n">
        <x:v>4</x:v>
      </x:c>
      <x:c r="AG59" s="46" t="n">
        <x:v>4</x:v>
      </x:c>
      <x:c r="AH59" s="46" t="n">
        <x:f>AVERAGE(H59:N59)</x:f>
        <x:v>3</x:v>
      </x:c>
      <x:c r="AI59" s="46" t="n">
        <x:f>AVERAGE(O59:T59)</x:f>
        <x:v>1</x:v>
      </x:c>
      <x:c r="AJ59" s="46" t="n">
        <x:f>AVERAGE(U59:Z59)</x:f>
        <x:v>4</x:v>
      </x:c>
      <x:c r="AK59" s="46" t="n">
        <x:f>AVERAGE(AA59:AG59)</x:f>
        <x:v>4</x:v>
      </x:c>
    </x:row>
    <x:row r="60">
      <x:c r="A60" s="44" t="str">
        <x:v>Manual-11</x:v>
      </x:c>
      <x:c r="B60" s="44" t="str">
        <x:v>manual</x:v>
      </x:c>
      <x:c r="C60" s="44" t="str">
        <x:v>35–44</x:v>
      </x:c>
      <x:c r="D60" s="44" t="str">
        <x:v>11–20 years</x:v>
      </x:c>
      <x:c r="E60" s="44" t="str">
        <x:v>Managerial</x:v>
      </x:c>
      <x:c r="F60" s="45" t="n">
        <x:v>0</x:v>
      </x:c>
      <x:c r="G60" s="45" t="n">
        <x:v>0</x:v>
      </x:c>
      <x:c r="H60" s="46" t="n">
        <x:v>3</x:v>
      </x:c>
      <x:c r="I60" s="46" t="n">
        <x:v>3</x:v>
      </x:c>
      <x:c r="J60" s="46" t="n">
        <x:v>3</x:v>
      </x:c>
      <x:c r="K60" s="46" t="n">
        <x:v>1</x:v>
      </x:c>
      <x:c r="L60" s="46" t="n">
        <x:v>3</x:v>
      </x:c>
      <x:c r="M60" s="46" t="n">
        <x:v>4</x:v>
      </x:c>
      <x:c r="N60" s="46" t="n">
        <x:v>4</x:v>
      </x:c>
      <x:c r="O60" s="46" t="n">
        <x:v>4</x:v>
      </x:c>
      <x:c r="P60" s="46" t="n">
        <x:v>4</x:v>
      </x:c>
      <x:c r="Q60" s="46" t="n">
        <x:v>3</x:v>
      </x:c>
      <x:c r="R60" s="46" t="n">
        <x:v>3</x:v>
      </x:c>
      <x:c r="S60" s="46" t="n">
        <x:v>4</x:v>
      </x:c>
      <x:c r="T60" s="46" t="n">
        <x:v>3</x:v>
      </x:c>
      <x:c r="U60" s="46" t="n">
        <x:v>4</x:v>
      </x:c>
      <x:c r="V60" s="46" t="n">
        <x:v>4</x:v>
      </x:c>
      <x:c r="W60" s="46" t="n">
        <x:v>4</x:v>
      </x:c>
      <x:c r="X60" s="46" t="n">
        <x:v>4</x:v>
      </x:c>
      <x:c r="Y60" s="46" t="n">
        <x:v>3</x:v>
      </x:c>
      <x:c r="Z60" s="46" t="n">
        <x:v>4</x:v>
      </x:c>
      <x:c r="AA60" s="46" t="n">
        <x:v>4</x:v>
      </x:c>
      <x:c r="AB60" s="46" t="n">
        <x:v>4</x:v>
      </x:c>
      <x:c r="AC60" s="46" t="n">
        <x:v>3</x:v>
      </x:c>
      <x:c r="AD60" s="46" t="n">
        <x:v>3</x:v>
      </x:c>
      <x:c r="AE60" s="46" t="n">
        <x:v>3</x:v>
      </x:c>
      <x:c r="AF60" s="46" t="n">
        <x:v>3</x:v>
      </x:c>
      <x:c r="AG60" s="46" t="n">
        <x:v>3</x:v>
      </x:c>
      <x:c r="AH60" s="46" t="n">
        <x:f>AVERAGE(H60:N60)</x:f>
        <x:v>3</x:v>
      </x:c>
      <x:c r="AI60" s="46" t="n">
        <x:f>AVERAGE(O60:T60)</x:f>
        <x:v>3.5</x:v>
      </x:c>
      <x:c r="AJ60" s="46" t="n">
        <x:f>AVERAGE(U60:Z60)</x:f>
        <x:v>3.8333333333333335</x:v>
      </x:c>
      <x:c r="AK60" s="46" t="n">
        <x:f>AVERAGE(AA60:AG60)</x:f>
        <x:v>3.2857142857142856</x:v>
      </x:c>
    </x:row>
    <x:row r="61">
      <x:c r="A61" s="44" t="str">
        <x:v>Manual-12</x:v>
      </x:c>
      <x:c r="B61" s="44" t="str">
        <x:v>manual</x:v>
      </x:c>
      <x:c r="C61" s="44" t="str">
        <x:v>25–34</x:v>
      </x:c>
      <x:c r="D61" s="44" t="str">
        <x:v>5–10 years</x:v>
      </x:c>
      <x:c r="E61" s="44" t="str">
        <x:v>Officer</x:v>
      </x:c>
      <x:c r="F61" s="45" t="n">
        <x:v>0</x:v>
      </x:c>
      <x:c r="G61" s="45" t="n">
        <x:v>0</x:v>
      </x:c>
      <x:c r="H61" s="46" t="n">
        <x:v>5</x:v>
      </x:c>
      <x:c r="I61" s="46" t="n">
        <x:v>5</x:v>
      </x:c>
      <x:c r="J61" s="46" t="n">
        <x:v>5</x:v>
      </x:c>
      <x:c r="K61" s="46" t="n">
        <x:v>5</x:v>
      </x:c>
      <x:c r="L61" s="46" t="n">
        <x:v>5</x:v>
      </x:c>
      <x:c r="M61" s="46" t="n">
        <x:v>5</x:v>
      </x:c>
      <x:c r="N61" s="46" t="n">
        <x:v>5</x:v>
      </x:c>
      <x:c r="O61" s="46" t="n">
        <x:v>5</x:v>
      </x:c>
      <x:c r="P61" s="46" t="n">
        <x:v>5</x:v>
      </x:c>
      <x:c r="Q61" s="46" t="n">
        <x:v>5</x:v>
      </x:c>
      <x:c r="R61" s="46" t="n">
        <x:v>5</x:v>
      </x:c>
      <x:c r="S61" s="46" t="n">
        <x:v>5</x:v>
      </x:c>
      <x:c r="T61" s="46" t="n">
        <x:v>5</x:v>
      </x:c>
      <x:c r="U61" s="46" t="n">
        <x:v>5</x:v>
      </x:c>
      <x:c r="V61" s="46" t="n">
        <x:v>5</x:v>
      </x:c>
      <x:c r="W61" s="46" t="n">
        <x:v>5</x:v>
      </x:c>
      <x:c r="X61" s="46" t="n">
        <x:v>5</x:v>
      </x:c>
      <x:c r="Y61" s="46" t="n">
        <x:v>5</x:v>
      </x:c>
      <x:c r="Z61" s="46" t="n">
        <x:v>5</x:v>
      </x:c>
      <x:c r="AA61" s="46" t="n">
        <x:v>4</x:v>
      </x:c>
      <x:c r="AB61" s="46" t="n">
        <x:v>5</x:v>
      </x:c>
      <x:c r="AC61" s="46" t="n">
        <x:v>4</x:v>
      </x:c>
      <x:c r="AD61" s="46" t="n">
        <x:v>5</x:v>
      </x:c>
      <x:c r="AE61" s="46" t="n">
        <x:v>5</x:v>
      </x:c>
      <x:c r="AF61" s="46" t="n">
        <x:v>4</x:v>
      </x:c>
      <x:c r="AG61" s="46" t="n">
        <x:v>5</x:v>
      </x:c>
      <x:c r="AH61" s="46" t="n">
        <x:f>AVERAGE(H61:N61)</x:f>
        <x:v>5</x:v>
      </x:c>
      <x:c r="AI61" s="46" t="n">
        <x:f>AVERAGE(O61:T61)</x:f>
        <x:v>5</x:v>
      </x:c>
      <x:c r="AJ61" s="46" t="n">
        <x:f>AVERAGE(U61:Z61)</x:f>
        <x:v>5</x:v>
      </x:c>
      <x:c r="AK61" s="46" t="n">
        <x:f>AVERAGE(AA61:AG61)</x:f>
        <x:v>4.571428571428571</x:v>
      </x:c>
    </x:row>
    <x:row r="62">
      <x:c r="A62" s="44" t="str">
        <x:v>Manual-13</x:v>
      </x:c>
      <x:c r="B62" s="44" t="str">
        <x:v>manual</x:v>
      </x:c>
      <x:c r="C62" s="44" t="str">
        <x:v>45–54</x:v>
      </x:c>
      <x:c r="D62" s="44" t="str">
        <x:v>Above 20 years</x:v>
      </x:c>
      <x:c r="E62" s="44" t="str">
        <x:v>Clerical</x:v>
      </x:c>
      <x:c r="F62" s="45" t="n">
        <x:v>0</x:v>
      </x:c>
      <x:c r="G62" s="45" t="n">
        <x:v>0</x:v>
      </x:c>
      <x:c r="H62" s="46" t="n">
        <x:v>4</x:v>
      </x:c>
      <x:c r="I62" s="46" t="n">
        <x:v>4</x:v>
      </x:c>
      <x:c r="J62" s="46" t="n">
        <x:v>5</x:v>
      </x:c>
      <x:c r="K62" s="46" t="n">
        <x:v>4</x:v>
      </x:c>
      <x:c r="L62" s="46" t="n">
        <x:v>4</x:v>
      </x:c>
      <x:c r="M62" s="46" t="n">
        <x:v>4</x:v>
      </x:c>
      <x:c r="N62" s="46" t="n">
        <x:v>4</x:v>
      </x:c>
      <x:c r="O62" s="46" t="n">
        <x:v>4</x:v>
      </x:c>
      <x:c r="P62" s="46" t="n">
        <x:v>4</x:v>
      </x:c>
      <x:c r="Q62" s="46" t="n">
        <x:v>4</x:v>
      </x:c>
      <x:c r="R62" s="46" t="n">
        <x:v>4</x:v>
      </x:c>
      <x:c r="S62" s="46" t="n">
        <x:v>5</x:v>
      </x:c>
      <x:c r="T62" s="46" t="n">
        <x:v>4</x:v>
      </x:c>
      <x:c r="U62" s="46" t="n">
        <x:v>5</x:v>
      </x:c>
      <x:c r="V62" s="46" t="n">
        <x:v>5</x:v>
      </x:c>
      <x:c r="W62" s="46" t="n">
        <x:v>5</x:v>
      </x:c>
      <x:c r="X62" s="46" t="n">
        <x:v>5</x:v>
      </x:c>
      <x:c r="Y62" s="46" t="n">
        <x:v>5</x:v>
      </x:c>
      <x:c r="Z62" s="46" t="n">
        <x:v>5</x:v>
      </x:c>
      <x:c r="AA62" s="46" t="n">
        <x:v>4</x:v>
      </x:c>
      <x:c r="AB62" s="46" t="n">
        <x:v>4</x:v>
      </x:c>
      <x:c r="AC62" s="46" t="n">
        <x:v>4</x:v>
      </x:c>
      <x:c r="AD62" s="46" t="n">
        <x:v>4</x:v>
      </x:c>
      <x:c r="AE62" s="46" t="n">
        <x:v>4</x:v>
      </x:c>
      <x:c r="AF62" s="46" t="n">
        <x:v>5</x:v>
      </x:c>
      <x:c r="AG62" s="46" t="n">
        <x:v>5</x:v>
      </x:c>
      <x:c r="AH62" s="46" t="n">
        <x:f>AVERAGE(H62:N62)</x:f>
        <x:v>4.142857142857143</x:v>
      </x:c>
      <x:c r="AI62" s="46" t="n">
        <x:f>AVERAGE(O62:T62)</x:f>
        <x:v>4.166666666666667</x:v>
      </x:c>
      <x:c r="AJ62" s="46" t="n">
        <x:f>AVERAGE(U62:Z62)</x:f>
        <x:v>5</x:v>
      </x:c>
      <x:c r="AK62" s="46" t="n">
        <x:f>AVERAGE(AA62:AG62)</x:f>
        <x:v>4.285714285714286</x:v>
      </x:c>
    </x:row>
    <x:row r="63">
      <x:c r="A63" s="44" t="str">
        <x:v>Manual-14</x:v>
      </x:c>
      <x:c r="B63" s="44" t="str">
        <x:v>manual</x:v>
      </x:c>
      <x:c r="C63" s="44" t="str">
        <x:v>25–34</x:v>
      </x:c>
      <x:c r="D63" s="44" t="str">
        <x:v>5–10 years</x:v>
      </x:c>
      <x:c r="E63" s="44" t="str">
        <x:v>Clerical</x:v>
      </x:c>
      <x:c r="F63" s="45" t="n">
        <x:v>0</x:v>
      </x:c>
      <x:c r="G63" s="45" t="n">
        <x:v>0</x:v>
      </x:c>
      <x:c r="H63" s="46" t="n">
        <x:v>3</x:v>
      </x:c>
      <x:c r="I63" s="46" t="n">
        <x:v>3</x:v>
      </x:c>
      <x:c r="J63" s="46" t="n">
        <x:v>5</x:v>
      </x:c>
      <x:c r="K63" s="46" t="n">
        <x:v>4</x:v>
      </x:c>
      <x:c r="L63" s="46" t="n">
        <x:v>5</x:v>
      </x:c>
      <x:c r="M63" s="46" t="n">
        <x:v>5</x:v>
      </x:c>
      <x:c r="N63" s="46" t="n">
        <x:v>5</x:v>
      </x:c>
      <x:c r="O63" s="46" t="n">
        <x:v>5</x:v>
      </x:c>
      <x:c r="P63" s="46" t="n">
        <x:v>5</x:v>
      </x:c>
      <x:c r="Q63" s="46" t="n">
        <x:v>5</x:v>
      </x:c>
      <x:c r="R63" s="46" t="n">
        <x:v>5</x:v>
      </x:c>
      <x:c r="S63" s="46" t="n">
        <x:v>5</x:v>
      </x:c>
      <x:c r="T63" s="46" t="n">
        <x:v>5</x:v>
      </x:c>
      <x:c r="U63" s="46" t="n">
        <x:v>5</x:v>
      </x:c>
      <x:c r="V63" s="46" t="n">
        <x:v>5</x:v>
      </x:c>
      <x:c r="W63" s="46" t="n">
        <x:v>5</x:v>
      </x:c>
      <x:c r="X63" s="46" t="n">
        <x:v>4</x:v>
      </x:c>
      <x:c r="Y63" s="46" t="n">
        <x:v>4</x:v>
      </x:c>
      <x:c r="Z63" s="46" t="n">
        <x:v>5</x:v>
      </x:c>
      <x:c r="AA63" s="46" t="n">
        <x:v>4</x:v>
      </x:c>
      <x:c r="AB63" s="46" t="n">
        <x:v>4</x:v>
      </x:c>
      <x:c r="AC63" s="46" t="n">
        <x:v>5</x:v>
      </x:c>
      <x:c r="AD63" s="46" t="n">
        <x:v>5</x:v>
      </x:c>
      <x:c r="AE63" s="46" t="n">
        <x:v>4</x:v>
      </x:c>
      <x:c r="AF63" s="46" t="n">
        <x:v>5</x:v>
      </x:c>
      <x:c r="AG63" s="46" t="n">
        <x:v>5</x:v>
      </x:c>
      <x:c r="AH63" s="46" t="n">
        <x:f>AVERAGE(H63:N63)</x:f>
        <x:v>4.285714285714286</x:v>
      </x:c>
      <x:c r="AI63" s="46" t="n">
        <x:f>AVERAGE(O63:T63)</x:f>
        <x:v>5</x:v>
      </x:c>
      <x:c r="AJ63" s="46" t="n">
        <x:f>AVERAGE(U63:Z63)</x:f>
        <x:v>4.666666666666667</x:v>
      </x:c>
      <x:c r="AK63" s="46" t="n">
        <x:f>AVERAGE(AA63:AG63)</x:f>
        <x:v>4.571428571428571</x:v>
      </x:c>
    </x:row>
    <x:row r="64">
      <x:c r="A64" s="44" t="str">
        <x:v>Manual-15</x:v>
      </x:c>
      <x:c r="B64" s="44" t="str">
        <x:v>manual</x:v>
      </x:c>
      <x:c r="C64" s="44" t="str">
        <x:v>45–54</x:v>
      </x:c>
      <x:c r="D64" s="44" t="str">
        <x:v>11–20 years</x:v>
      </x:c>
      <x:c r="E64" s="44" t="str">
        <x:v>Officer</x:v>
      </x:c>
      <x:c r="F64" s="45" t="n">
        <x:v>0</x:v>
      </x:c>
      <x:c r="G64" s="45" t="n">
        <x:v>0</x:v>
      </x:c>
      <x:c r="H64" s="46" t="n">
        <x:v>4</x:v>
      </x:c>
      <x:c r="I64" s="46" t="n">
        <x:v>4</x:v>
      </x:c>
      <x:c r="J64" s="46" t="n">
        <x:v>4</x:v>
      </x:c>
      <x:c r="K64" s="46" t="n">
        <x:v>4</x:v>
      </x:c>
      <x:c r="L64" s="46" t="n">
        <x:v>4</x:v>
      </x:c>
      <x:c r="M64" s="46" t="n">
        <x:v>4</x:v>
      </x:c>
      <x:c r="N64" s="46" t="n">
        <x:v>4</x:v>
      </x:c>
      <x:c r="O64" s="46" t="n">
        <x:v>4</x:v>
      </x:c>
      <x:c r="P64" s="46" t="n">
        <x:v>4</x:v>
      </x:c>
      <x:c r="Q64" s="46" t="n">
        <x:v>4</x:v>
      </x:c>
      <x:c r="R64" s="46" t="n">
        <x:v>4</x:v>
      </x:c>
      <x:c r="S64" s="46" t="n">
        <x:v>4</x:v>
      </x:c>
      <x:c r="T64" s="46" t="n">
        <x:v>4</x:v>
      </x:c>
      <x:c r="U64" s="46" t="n">
        <x:v>4</x:v>
      </x:c>
      <x:c r="V64" s="46" t="n">
        <x:v>4</x:v>
      </x:c>
      <x:c r="W64" s="46" t="n">
        <x:v>4</x:v>
      </x:c>
      <x:c r="X64" s="46" t="n">
        <x:v>4</x:v>
      </x:c>
      <x:c r="Y64" s="46" t="n">
        <x:v>4</x:v>
      </x:c>
      <x:c r="Z64" s="46" t="n">
        <x:v>4</x:v>
      </x:c>
      <x:c r="AA64" s="46" t="n">
        <x:v>4</x:v>
      </x:c>
      <x:c r="AB64" s="46" t="n">
        <x:v>4</x:v>
      </x:c>
      <x:c r="AC64" s="46" t="n">
        <x:v>4</x:v>
      </x:c>
      <x:c r="AD64" s="46" t="n">
        <x:v>4</x:v>
      </x:c>
      <x:c r="AE64" s="46" t="n">
        <x:v>4</x:v>
      </x:c>
      <x:c r="AF64" s="46" t="n">
        <x:v>4</x:v>
      </x:c>
      <x:c r="AG64" s="46" t="n">
        <x:v>4</x:v>
      </x:c>
      <x:c r="AH64" s="46" t="n">
        <x:f>AVERAGE(H64:N64)</x:f>
        <x:v>4</x:v>
      </x:c>
      <x:c r="AI64" s="46" t="n">
        <x:f>AVERAGE(O64:T64)</x:f>
        <x:v>4</x:v>
      </x:c>
      <x:c r="AJ64" s="46" t="n">
        <x:f>AVERAGE(U64:Z64)</x:f>
        <x:v>4</x:v>
      </x:c>
      <x:c r="AK64" s="46" t="n">
        <x:f>AVERAGE(AA64:AG64)</x:f>
        <x:v>4</x:v>
      </x:c>
    </x:row>
    <x:row r="65">
      <x:c r="A65" s="44" t="str">
        <x:v>Manual-16</x:v>
      </x:c>
      <x:c r="B65" s="44" t="str">
        <x:v>manual</x:v>
      </x:c>
      <x:c r="C65" s="44" t="str">
        <x:v>35–44</x:v>
      </x:c>
      <x:c r="D65" s="44" t="str">
        <x:v>11–20 years</x:v>
      </x:c>
      <x:c r="E65" s="44" t="str">
        <x:v>Officer</x:v>
      </x:c>
      <x:c r="F65" s="45" t="n">
        <x:v>0</x:v>
      </x:c>
      <x:c r="G65" s="45" t="n">
        <x:v>0</x:v>
      </x:c>
      <x:c r="H65" s="46" t="n">
        <x:v>4</x:v>
      </x:c>
      <x:c r="I65" s="46" t="n">
        <x:v>4</x:v>
      </x:c>
      <x:c r="J65" s="46" t="n">
        <x:v>4</x:v>
      </x:c>
      <x:c r="K65" s="46" t="n">
        <x:v>4</x:v>
      </x:c>
      <x:c r="L65" s="46" t="n">
        <x:v>4</x:v>
      </x:c>
      <x:c r="M65" s="46" t="n">
        <x:v>4</x:v>
      </x:c>
      <x:c r="N65" s="46" t="n">
        <x:v>4</x:v>
      </x:c>
      <x:c r="O65" s="46" t="n">
        <x:v>4</x:v>
      </x:c>
      <x:c r="P65" s="46" t="n">
        <x:v>4</x:v>
      </x:c>
      <x:c r="Q65" s="46" t="n">
        <x:v>4</x:v>
      </x:c>
      <x:c r="R65" s="46" t="n">
        <x:v>4</x:v>
      </x:c>
      <x:c r="S65" s="46" t="n">
        <x:v>4</x:v>
      </x:c>
      <x:c r="T65" s="46" t="n">
        <x:v>4</x:v>
      </x:c>
      <x:c r="U65" s="46" t="n">
        <x:v>4</x:v>
      </x:c>
      <x:c r="V65" s="46" t="n">
        <x:v>4</x:v>
      </x:c>
      <x:c r="W65" s="46" t="n">
        <x:v>4</x:v>
      </x:c>
      <x:c r="X65" s="46" t="n">
        <x:v>4</x:v>
      </x:c>
      <x:c r="Y65" s="46" t="n">
        <x:v>4</x:v>
      </x:c>
      <x:c r="Z65" s="46" t="n">
        <x:v>4</x:v>
      </x:c>
      <x:c r="AA65" s="46" t="n">
        <x:v>4</x:v>
      </x:c>
      <x:c r="AB65" s="46" t="n">
        <x:v>4</x:v>
      </x:c>
      <x:c r="AC65" s="46" t="n">
        <x:v>4</x:v>
      </x:c>
      <x:c r="AD65" s="46" t="n">
        <x:v>4</x:v>
      </x:c>
      <x:c r="AE65" s="46" t="n">
        <x:v>4</x:v>
      </x:c>
      <x:c r="AF65" s="46" t="n">
        <x:v>4</x:v>
      </x:c>
      <x:c r="AG65" s="46" t="n">
        <x:v>4</x:v>
      </x:c>
      <x:c r="AH65" s="46" t="n">
        <x:f>AVERAGE(H65:N65)</x:f>
        <x:v>4</x:v>
      </x:c>
      <x:c r="AI65" s="46" t="n">
        <x:f>AVERAGE(O65:T65)</x:f>
        <x:v>4</x:v>
      </x:c>
      <x:c r="AJ65" s="46" t="n">
        <x:f>AVERAGE(U65:Z65)</x:f>
        <x:v>4</x:v>
      </x:c>
      <x:c r="AK65" s="46" t="n">
        <x:f>AVERAGE(AA65:AG65)</x:f>
        <x:v>4</x:v>
      </x:c>
    </x:row>
    <x:row r="66">
      <x:c r="A66" s="44" t="str">
        <x:v>Manual-17</x:v>
      </x:c>
      <x:c r="B66" s="44" t="str">
        <x:v>manual</x:v>
      </x:c>
      <x:c r="C66" s="44" t="str">
        <x:v>25–34</x:v>
      </x:c>
      <x:c r="D66" s="44" t="str">
        <x:v>5–10 years</x:v>
      </x:c>
      <x:c r="E66" s="44" t="str">
        <x:v>Clerical</x:v>
      </x:c>
      <x:c r="F66" s="45" t="n">
        <x:v>0</x:v>
      </x:c>
      <x:c r="G66" s="45" t="n">
        <x:v>0</x:v>
      </x:c>
      <x:c r="H66" s="46" t="n">
        <x:v>4</x:v>
      </x:c>
      <x:c r="I66" s="46" t="n">
        <x:v>4</x:v>
      </x:c>
      <x:c r="J66" s="46" t="n">
        <x:v>4</x:v>
      </x:c>
      <x:c r="K66" s="46" t="n">
        <x:v>4</x:v>
      </x:c>
      <x:c r="L66" s="46" t="n">
        <x:v>4</x:v>
      </x:c>
      <x:c r="M66" s="46" t="n">
        <x:v>4</x:v>
      </x:c>
      <x:c r="N66" s="46" t="n">
        <x:v>4</x:v>
      </x:c>
      <x:c r="O66" s="46" t="n">
        <x:v>4</x:v>
      </x:c>
      <x:c r="P66" s="46" t="n">
        <x:v>4</x:v>
      </x:c>
      <x:c r="Q66" s="46" t="n">
        <x:v>4</x:v>
      </x:c>
      <x:c r="R66" s="46" t="n">
        <x:v>4</x:v>
      </x:c>
      <x:c r="S66" s="46" t="n">
        <x:v>4</x:v>
      </x:c>
      <x:c r="T66" s="46" t="n">
        <x:v>4</x:v>
      </x:c>
      <x:c r="U66" s="46" t="n">
        <x:v>4</x:v>
      </x:c>
      <x:c r="V66" s="46" t="n">
        <x:v>4</x:v>
      </x:c>
      <x:c r="W66" s="46" t="n">
        <x:v>4</x:v>
      </x:c>
      <x:c r="X66" s="46" t="n">
        <x:v>4</x:v>
      </x:c>
      <x:c r="Y66" s="46" t="n">
        <x:v>4</x:v>
      </x:c>
      <x:c r="Z66" s="46" t="n">
        <x:v>4</x:v>
      </x:c>
      <x:c r="AA66" s="46" t="n">
        <x:v>4</x:v>
      </x:c>
      <x:c r="AB66" s="46" t="n">
        <x:v>4</x:v>
      </x:c>
      <x:c r="AC66" s="46" t="n">
        <x:v>4</x:v>
      </x:c>
      <x:c r="AD66" s="46" t="n">
        <x:v>5</x:v>
      </x:c>
      <x:c r="AE66" s="46" t="n">
        <x:v>4</x:v>
      </x:c>
      <x:c r="AF66" s="46" t="n">
        <x:v>4</x:v>
      </x:c>
      <x:c r="AG66" s="46" t="n">
        <x:v>5</x:v>
      </x:c>
      <x:c r="AH66" s="46" t="n">
        <x:f>AVERAGE(H66:N66)</x:f>
        <x:v>4</x:v>
      </x:c>
      <x:c r="AI66" s="46" t="n">
        <x:f>AVERAGE(O66:T66)</x:f>
        <x:v>4</x:v>
      </x:c>
      <x:c r="AJ66" s="46" t="n">
        <x:f>AVERAGE(U66:Z66)</x:f>
        <x:v>4</x:v>
      </x:c>
      <x:c r="AK66" s="46" t="n">
        <x:f>AVERAGE(AA66:AG66)</x:f>
        <x:v>4.285714285714286</x:v>
      </x:c>
    </x:row>
    <x:row r="67">
      <x:c r="A67" s="44" t="str">
        <x:v>Manual-19</x:v>
      </x:c>
      <x:c r="B67" s="44" t="str">
        <x:v>manual</x:v>
      </x:c>
      <x:c r="C67" s="44" t="str">
        <x:v>25–34</x:v>
      </x:c>
      <x:c r="D67" s="44" t="str">
        <x:v>5–10 years</x:v>
      </x:c>
      <x:c r="E67" s="44" t="str">
        <x:v>Officer</x:v>
      </x:c>
      <x:c r="F67" s="45" t="n">
        <x:v>0</x:v>
      </x:c>
      <x:c r="G67" s="45" t="n">
        <x:v>0</x:v>
      </x:c>
      <x:c r="H67" s="46" t="n">
        <x:v>4</x:v>
      </x:c>
      <x:c r="I67" s="46" t="n">
        <x:v>3</x:v>
      </x:c>
      <x:c r="J67" s="46" t="n">
        <x:v>4</x:v>
      </x:c>
      <x:c r="K67" s="46" t="n">
        <x:v>4</x:v>
      </x:c>
      <x:c r="L67" s="46" t="n">
        <x:v>4</x:v>
      </x:c>
      <x:c r="M67" s="46" t="n">
        <x:v>4</x:v>
      </x:c>
      <x:c r="N67" s="46" t="n">
        <x:v>4</x:v>
      </x:c>
      <x:c r="O67" s="46" t="n">
        <x:v>4</x:v>
      </x:c>
      <x:c r="P67" s="46" t="n">
        <x:v>5</x:v>
      </x:c>
      <x:c r="Q67" s="46" t="n">
        <x:v>5</x:v>
      </x:c>
      <x:c r="R67" s="46" t="n">
        <x:v>4</x:v>
      </x:c>
      <x:c r="S67" s="46" t="n">
        <x:v>4</x:v>
      </x:c>
      <x:c r="T67" s="46" t="n">
        <x:v>4</x:v>
      </x:c>
      <x:c r="U67" s="46" t="n">
        <x:v>4</x:v>
      </x:c>
      <x:c r="V67" s="46" t="n">
        <x:v>4</x:v>
      </x:c>
      <x:c r="W67" s="46" t="n">
        <x:v>5</x:v>
      </x:c>
      <x:c r="X67" s="46" t="n">
        <x:v>5</x:v>
      </x:c>
      <x:c r="Y67" s="46" t="n">
        <x:v>5</x:v>
      </x:c>
      <x:c r="Z67" s="46" t="n">
        <x:v>5</x:v>
      </x:c>
      <x:c r="AA67" s="46" t="n">
        <x:v>5</x:v>
      </x:c>
      <x:c r="AB67" s="46" t="n">
        <x:v>4</x:v>
      </x:c>
      <x:c r="AC67" s="46" t="n">
        <x:v>4</x:v>
      </x:c>
      <x:c r="AD67" s="46" t="n">
        <x:v>4</x:v>
      </x:c>
      <x:c r="AE67" s="46" t="n">
        <x:v>4</x:v>
      </x:c>
      <x:c r="AF67" s="46" t="n">
        <x:v>5</x:v>
      </x:c>
      <x:c r="AG67" s="46" t="n">
        <x:v>5</x:v>
      </x:c>
      <x:c r="AH67" s="46" t="n">
        <x:f>AVERAGE(H67:N67)</x:f>
        <x:v>3.857142857142857</x:v>
      </x:c>
      <x:c r="AI67" s="46" t="n">
        <x:f>AVERAGE(O67:T67)</x:f>
        <x:v>4.333333333333333</x:v>
      </x:c>
      <x:c r="AJ67" s="46" t="n">
        <x:f>AVERAGE(U67:Z67)</x:f>
        <x:v>4.666666666666667</x:v>
      </x:c>
      <x:c r="AK67" s="46" t="n">
        <x:f>AVERAGE(AA67:AG67)</x:f>
        <x:v>4.428571428571429</x:v>
      </x:c>
    </x:row>
    <x:row r="68">
      <x:c r="A68" s="44" t="str">
        <x:v>Manual-21</x:v>
      </x:c>
      <x:c r="B68" s="44" t="str">
        <x:v>manual</x:v>
      </x:c>
      <x:c r="C68" s="44" t="str">
        <x:v>25–34</x:v>
      </x:c>
      <x:c r="D68" s="44" t="str">
        <x:v>5–10 years</x:v>
      </x:c>
      <x:c r="E68" s="44" t="str">
        <x:v>Clerical</x:v>
      </x:c>
      <x:c r="F68" s="45" t="n">
        <x:v>0</x:v>
      </x:c>
      <x:c r="G68" s="45" t="n">
        <x:v>0</x:v>
      </x:c>
      <x:c r="H68" s="46" t="n">
        <x:v>5</x:v>
      </x:c>
      <x:c r="I68" s="46" t="n">
        <x:v>5</x:v>
      </x:c>
      <x:c r="J68" s="46" t="n">
        <x:v>5</x:v>
      </x:c>
      <x:c r="K68" s="46" t="n">
        <x:v>5</x:v>
      </x:c>
      <x:c r="L68" s="46" t="n">
        <x:v>5</x:v>
      </x:c>
      <x:c r="M68" s="46" t="n">
        <x:v>5</x:v>
      </x:c>
      <x:c r="N68" s="46" t="n">
        <x:v>5</x:v>
      </x:c>
      <x:c r="O68" s="46" t="n">
        <x:v>5</x:v>
      </x:c>
      <x:c r="P68" s="46" t="n">
        <x:v>5</x:v>
      </x:c>
      <x:c r="Q68" s="46" t="n">
        <x:v>4</x:v>
      </x:c>
      <x:c r="R68" s="46" t="n">
        <x:v>4</x:v>
      </x:c>
      <x:c r="S68" s="46" t="n">
        <x:v>4</x:v>
      </x:c>
      <x:c r="T68" s="46" t="n">
        <x:v>4</x:v>
      </x:c>
      <x:c r="U68" s="46" t="n">
        <x:v>5</x:v>
      </x:c>
      <x:c r="V68" s="46" t="n">
        <x:v>5</x:v>
      </x:c>
      <x:c r="W68" s="46" t="n">
        <x:v>5</x:v>
      </x:c>
      <x:c r="X68" s="46" t="n">
        <x:v>5</x:v>
      </x:c>
      <x:c r="Y68" s="46" t="n">
        <x:v>5</x:v>
      </x:c>
      <x:c r="Z68" s="46" t="n">
        <x:v>5</x:v>
      </x:c>
      <x:c r="AA68" s="46" t="n">
        <x:v>5</x:v>
      </x:c>
      <x:c r="AB68" s="46" t="n">
        <x:v>5</x:v>
      </x:c>
      <x:c r="AC68" s="46" t="n">
        <x:v>5</x:v>
      </x:c>
      <x:c r="AD68" s="46" t="n">
        <x:v>5</x:v>
      </x:c>
      <x:c r="AE68" s="46" t="n">
        <x:v>5</x:v>
      </x:c>
      <x:c r="AF68" s="46" t="n">
        <x:v>5</x:v>
      </x:c>
      <x:c r="AG68" s="46" t="n">
        <x:v>5</x:v>
      </x:c>
      <x:c r="AH68" s="46" t="n">
        <x:f>AVERAGE(H68:N68)</x:f>
        <x:v>5</x:v>
      </x:c>
      <x:c r="AI68" s="46" t="n">
        <x:f>AVERAGE(O68:T68)</x:f>
        <x:v>4.333333333333333</x:v>
      </x:c>
      <x:c r="AJ68" s="46" t="n">
        <x:f>AVERAGE(U68:Z68)</x:f>
        <x:v>5</x:v>
      </x:c>
      <x:c r="AK68" s="46" t="n">
        <x:f>AVERAGE(AA68:AG68)</x:f>
        <x:v>5</x:v>
      </x:c>
    </x:row>
    <x:row r="69">
      <x:c r="A69" s="44" t="str">
        <x:v>Manual-22</x:v>
      </x:c>
      <x:c r="B69" s="44" t="str">
        <x:v>manual</x:v>
      </x:c>
      <x:c r="C69" s="44" t="str">
        <x:v>45–54</x:v>
      </x:c>
      <x:c r="D69" s="44" t="str">
        <x:v>11–20 years</x:v>
      </x:c>
      <x:c r="E69" s="44" t="str">
        <x:v>Clerical</x:v>
      </x:c>
      <x:c r="F69" s="45" t="n">
        <x:v>0</x:v>
      </x:c>
      <x:c r="G69" s="45" t="n">
        <x:v>0</x:v>
      </x:c>
      <x:c r="H69" s="46" t="n">
        <x:v>4</x:v>
      </x:c>
      <x:c r="I69" s="46" t="n">
        <x:v>4</x:v>
      </x:c>
      <x:c r="J69" s="46" t="n">
        <x:v>4</x:v>
      </x:c>
      <x:c r="K69" s="46" t="n">
        <x:v>4</x:v>
      </x:c>
      <x:c r="L69" s="46" t="n">
        <x:v>4</x:v>
      </x:c>
      <x:c r="M69" s="46" t="n">
        <x:v>4</x:v>
      </x:c>
      <x:c r="N69" s="46" t="n">
        <x:v>4</x:v>
      </x:c>
      <x:c r="O69" s="46" t="n">
        <x:v>5</x:v>
      </x:c>
      <x:c r="P69" s="46" t="n">
        <x:v>5</x:v>
      </x:c>
      <x:c r="Q69" s="46" t="n">
        <x:v>5</x:v>
      </x:c>
      <x:c r="R69" s="46" t="n">
        <x:v>5</x:v>
      </x:c>
      <x:c r="S69" s="46" t="n">
        <x:v>5</x:v>
      </x:c>
      <x:c r="T69" s="46" t="n">
        <x:v>5</x:v>
      </x:c>
      <x:c r="U69" s="46" t="n">
        <x:v>4</x:v>
      </x:c>
      <x:c r="V69" s="46" t="n">
        <x:v>4</x:v>
      </x:c>
      <x:c r="W69" s="46" t="n">
        <x:v>4</x:v>
      </x:c>
      <x:c r="X69" s="46" t="n">
        <x:v>4</x:v>
      </x:c>
      <x:c r="Y69" s="46" t="n">
        <x:v>5</x:v>
      </x:c>
      <x:c r="Z69" s="46" t="n">
        <x:v>4</x:v>
      </x:c>
      <x:c r="AA69" s="46" t="n">
        <x:v>4</x:v>
      </x:c>
      <x:c r="AB69" s="46" t="n">
        <x:v>4</x:v>
      </x:c>
      <x:c r="AC69" s="46" t="n">
        <x:v>4</x:v>
      </x:c>
      <x:c r="AD69" s="46" t="n">
        <x:v>4</x:v>
      </x:c>
      <x:c r="AE69" s="46" t="n">
        <x:v>4</x:v>
      </x:c>
      <x:c r="AF69" s="46" t="n">
        <x:v>4</x:v>
      </x:c>
      <x:c r="AG69" s="46" t="n">
        <x:v>4</x:v>
      </x:c>
      <x:c r="AH69" s="46" t="n">
        <x:f>AVERAGE(H69:N69)</x:f>
        <x:v>4</x:v>
      </x:c>
      <x:c r="AI69" s="46" t="n">
        <x:f>AVERAGE(O69:T69)</x:f>
        <x:v>5</x:v>
      </x:c>
      <x:c r="AJ69" s="46" t="n">
        <x:f>AVERAGE(U69:Z69)</x:f>
        <x:v>4.166666666666667</x:v>
      </x:c>
      <x:c r="AK69" s="46" t="n">
        <x:f>AVERAGE(AA69:AG69)</x:f>
        <x:v>4</x:v>
      </x:c>
    </x:row>
    <x:row r="70">
      <x:c r="A70" s="44" t="str">
        <x:v>Manual-23</x:v>
      </x:c>
      <x:c r="B70" s="44" t="str">
        <x:v>manual</x:v>
      </x:c>
      <x:c r="C70" s="44" t="str">
        <x:v>25–34</x:v>
      </x:c>
      <x:c r="D70" s="44" t="str">
        <x:v>Below 5 years</x:v>
      </x:c>
      <x:c r="E70" s="44" t="str">
        <x:v>Officer</x:v>
      </x:c>
      <x:c r="F70" s="45" t="n">
        <x:v>0</x:v>
      </x:c>
      <x:c r="G70" s="45" t="n">
        <x:v>0</x:v>
      </x:c>
      <x:c r="H70" s="46" t="n">
        <x:v>4</x:v>
      </x:c>
      <x:c r="I70" s="46" t="n">
        <x:v>4</x:v>
      </x:c>
      <x:c r="J70" s="46" t="n">
        <x:v>4</x:v>
      </x:c>
      <x:c r="K70" s="46" t="n">
        <x:v>5</x:v>
      </x:c>
      <x:c r="L70" s="46" t="n">
        <x:v>4</x:v>
      </x:c>
      <x:c r="M70" s="46" t="n">
        <x:v>5</x:v>
      </x:c>
      <x:c r="N70" s="46" t="n">
        <x:v>5</x:v>
      </x:c>
      <x:c r="O70" s="46" t="n">
        <x:v>5</x:v>
      </x:c>
      <x:c r="P70" s="46" t="n">
        <x:v>5</x:v>
      </x:c>
      <x:c r="Q70" s="46" t="n">
        <x:v>5</x:v>
      </x:c>
      <x:c r="R70" s="46" t="n">
        <x:v>5</x:v>
      </x:c>
      <x:c r="S70" s="46" t="n">
        <x:v>4</x:v>
      </x:c>
      <x:c r="T70" s="46" t="n">
        <x:v>5</x:v>
      </x:c>
      <x:c r="U70" s="46" t="n">
        <x:v>5</x:v>
      </x:c>
      <x:c r="V70" s="46" t="n">
        <x:v>5</x:v>
      </x:c>
      <x:c r="W70" s="46" t="n">
        <x:v>4</x:v>
      </x:c>
      <x:c r="X70" s="46" t="n">
        <x:v>5</x:v>
      </x:c>
      <x:c r="Y70" s="46" t="n">
        <x:v>5</x:v>
      </x:c>
      <x:c r="Z70" s="46" t="n">
        <x:v>5</x:v>
      </x:c>
      <x:c r="AA70" s="46" t="n">
        <x:v>5</x:v>
      </x:c>
      <x:c r="AB70" s="46" t="n">
        <x:v>5</x:v>
      </x:c>
      <x:c r="AC70" s="46" t="n">
        <x:v>5</x:v>
      </x:c>
      <x:c r="AD70" s="46" t="n">
        <x:v>5</x:v>
      </x:c>
      <x:c r="AE70" s="46" t="n">
        <x:v>4</x:v>
      </x:c>
      <x:c r="AF70" s="46" t="n">
        <x:v>5</x:v>
      </x:c>
      <x:c r="AG70" s="46" t="n">
        <x:v>5</x:v>
      </x:c>
      <x:c r="AH70" s="46" t="n">
        <x:f>AVERAGE(H70:N70)</x:f>
        <x:v>4.428571428571429</x:v>
      </x:c>
      <x:c r="AI70" s="46" t="n">
        <x:f>AVERAGE(O70:T70)</x:f>
        <x:v>4.833333333333333</x:v>
      </x:c>
      <x:c r="AJ70" s="46" t="n">
        <x:f>AVERAGE(U70:Z70)</x:f>
        <x:v>4.833333333333333</x:v>
      </x:c>
      <x:c r="AK70" s="46" t="n">
        <x:f>AVERAGE(AA70:AG70)</x:f>
        <x:v>4.857142857142857</x:v>
      </x:c>
    </x:row>
    <x:row r="71">
      <x:c r="A71" s="44" t="str">
        <x:v>Manual-24</x:v>
      </x:c>
      <x:c r="B71" s="44" t="str">
        <x:v>manual</x:v>
      </x:c>
      <x:c r="C71" s="44" t="str">
        <x:v>25–34</x:v>
      </x:c>
      <x:c r="D71" s="44" t="str">
        <x:v>5–10 years</x:v>
      </x:c>
      <x:c r="E71" s="44" t="str">
        <x:v>Officer</x:v>
      </x:c>
      <x:c r="F71" s="45" t="n">
        <x:v>0</x:v>
      </x:c>
      <x:c r="G71" s="45" t="n">
        <x:v>0</x:v>
      </x:c>
      <x:c r="H71" s="46" t="n">
        <x:v>4</x:v>
      </x:c>
      <x:c r="I71" s="46" t="n">
        <x:v>4</x:v>
      </x:c>
      <x:c r="J71" s="46" t="n">
        <x:v>4</x:v>
      </x:c>
      <x:c r="K71" s="46" t="n">
        <x:v>5</x:v>
      </x:c>
      <x:c r="L71" s="46" t="n">
        <x:v>5</x:v>
      </x:c>
      <x:c r="M71" s="46" t="n">
        <x:v>5</x:v>
      </x:c>
      <x:c r="N71" s="46" t="n">
        <x:v>5</x:v>
      </x:c>
      <x:c r="O71" s="46" t="n">
        <x:v>5</x:v>
      </x:c>
      <x:c r="P71" s="46" t="n">
        <x:v>5</x:v>
      </x:c>
      <x:c r="Q71" s="46" t="n">
        <x:v>5</x:v>
      </x:c>
      <x:c r="R71" s="46" t="n">
        <x:v>5</x:v>
      </x:c>
      <x:c r="S71" s="46" t="n">
        <x:v>5</x:v>
      </x:c>
      <x:c r="T71" s="46" t="n">
        <x:v>5</x:v>
      </x:c>
      <x:c r="U71" s="46" t="n">
        <x:v>5</x:v>
      </x:c>
      <x:c r="V71" s="46" t="n">
        <x:v>5</x:v>
      </x:c>
      <x:c r="W71" s="46" t="n">
        <x:v>5</x:v>
      </x:c>
      <x:c r="X71" s="46" t="n">
        <x:v>5</x:v>
      </x:c>
      <x:c r="Y71" s="46" t="n">
        <x:v>5</x:v>
      </x:c>
      <x:c r="Z71" s="46" t="n">
        <x:v>5</x:v>
      </x:c>
      <x:c r="AA71" s="46" t="n">
        <x:v>5</x:v>
      </x:c>
      <x:c r="AB71" s="46" t="n">
        <x:v>5</x:v>
      </x:c>
      <x:c r="AC71" s="46" t="n">
        <x:v>5</x:v>
      </x:c>
      <x:c r="AD71" s="46" t="n">
        <x:v>5</x:v>
      </x:c>
      <x:c r="AE71" s="46" t="n">
        <x:v>5</x:v>
      </x:c>
      <x:c r="AF71" s="46" t="n">
        <x:v>5</x:v>
      </x:c>
      <x:c r="AG71" s="46" t="n">
        <x:v>5</x:v>
      </x:c>
      <x:c r="AH71" s="46" t="n">
        <x:f>AVERAGE(H71:N71)</x:f>
        <x:v>4.571428571428571</x:v>
      </x:c>
      <x:c r="AI71" s="46" t="n">
        <x:f>AVERAGE(O71:T71)</x:f>
        <x:v>5</x:v>
      </x:c>
      <x:c r="AJ71" s="46" t="n">
        <x:f>AVERAGE(U71:Z71)</x:f>
        <x:v>5</x:v>
      </x:c>
      <x:c r="AK71" s="46" t="n">
        <x:f>AVERAGE(AA71:AG71)</x:f>
        <x:v>5</x:v>
      </x:c>
    </x:row>
    <x:row r="72">
      <x:c r="A72" s="44" t="str">
        <x:v>Manual-27</x:v>
      </x:c>
      <x:c r="B72" s="44" t="str">
        <x:v>manual</x:v>
      </x:c>
      <x:c r="C72" s="44" t="str">
        <x:v>45–54</x:v>
      </x:c>
      <x:c r="D72" s="44" t="str">
        <x:v>11–20 years</x:v>
      </x:c>
      <x:c r="E72" s="44" t="str">
        <x:v>Clerical</x:v>
      </x:c>
      <x:c r="F72" s="45" t="n">
        <x:v>0</x:v>
      </x:c>
      <x:c r="G72" s="45" t="n">
        <x:v>0</x:v>
      </x:c>
      <x:c r="H72" s="46" t="n">
        <x:v>4</x:v>
      </x:c>
      <x:c r="I72" s="46" t="n">
        <x:v>4</x:v>
      </x:c>
      <x:c r="J72" s="46" t="n">
        <x:v>5</x:v>
      </x:c>
      <x:c r="K72" s="46" t="n">
        <x:v>5</x:v>
      </x:c>
      <x:c r="L72" s="46" t="n">
        <x:v>4</x:v>
      </x:c>
      <x:c r="M72" s="46" t="n">
        <x:v>2</x:v>
      </x:c>
      <x:c r="N72" s="46" t="n">
        <x:v>4</x:v>
      </x:c>
      <x:c r="O72" s="46" t="n">
        <x:v>4</x:v>
      </x:c>
      <x:c r="P72" s="46" t="n">
        <x:v>4</x:v>
      </x:c>
      <x:c r="Q72" s="46" t="n">
        <x:v>4</x:v>
      </x:c>
      <x:c r="R72" s="46" t="n">
        <x:v>2</x:v>
      </x:c>
      <x:c r="S72" s="46" t="n">
        <x:v>4</x:v>
      </x:c>
      <x:c r="T72" s="46" t="n">
        <x:v>4</x:v>
      </x:c>
      <x:c r="U72" s="46" t="n">
        <x:v>4</x:v>
      </x:c>
      <x:c r="V72" s="46" t="n">
        <x:v>4</x:v>
      </x:c>
      <x:c r="W72" s="46" t="n">
        <x:v>5</x:v>
      </x:c>
      <x:c r="X72" s="46" t="n">
        <x:v>4</x:v>
      </x:c>
      <x:c r="Y72" s="46" t="n">
        <x:v>4</x:v>
      </x:c>
      <x:c r="Z72" s="46" t="n">
        <x:v>5</x:v>
      </x:c>
      <x:c r="AA72" s="46" t="n">
        <x:v>4</x:v>
      </x:c>
      <x:c r="AB72" s="46" t="n">
        <x:v>4</x:v>
      </x:c>
      <x:c r="AC72" s="46" t="n">
        <x:v>4</x:v>
      </x:c>
      <x:c r="AD72" s="46" t="n">
        <x:v>4</x:v>
      </x:c>
      <x:c r="AE72" s="46" t="n">
        <x:v>5</x:v>
      </x:c>
      <x:c r="AF72" s="46" t="n">
        <x:v>4</x:v>
      </x:c>
      <x:c r="AG72" s="46" t="n">
        <x:v>4</x:v>
      </x:c>
      <x:c r="AH72" s="46" t="n">
        <x:f>AVERAGE(H72:N72)</x:f>
        <x:v>4</x:v>
      </x:c>
      <x:c r="AI72" s="46" t="n">
        <x:f>AVERAGE(O72:T72)</x:f>
        <x:v>3.6666666666666665</x:v>
      </x:c>
      <x:c r="AJ72" s="46" t="n">
        <x:f>AVERAGE(U72:Z72)</x:f>
        <x:v>4.333333333333333</x:v>
      </x:c>
      <x:c r="AK72" s="46" t="n">
        <x:f>AVERAGE(AA72:AG72)</x:f>
        <x:v>4.142857142857143</x:v>
      </x:c>
    </x:row>
    <x:row r="73">
      <x:c r="A73" s="44" t="str">
        <x:v>Manual-28</x:v>
      </x:c>
      <x:c r="B73" s="44" t="str">
        <x:v>manual</x:v>
      </x:c>
      <x:c r="C73" s="44" t="str">
        <x:v>35–44</x:v>
      </x:c>
      <x:c r="D73" s="44" t="str">
        <x:v>11–20 years</x:v>
      </x:c>
      <x:c r="E73" s="44" t="str">
        <x:v>Officer</x:v>
      </x:c>
      <x:c r="F73" s="45" t="n">
        <x:v>0</x:v>
      </x:c>
      <x:c r="G73" s="45" t="n">
        <x:v>0</x:v>
      </x:c>
      <x:c r="H73" s="46" t="n">
        <x:v>4</x:v>
      </x:c>
      <x:c r="I73" s="46" t="n">
        <x:v>4</x:v>
      </x:c>
      <x:c r="J73" s="46" t="n">
        <x:v>5</x:v>
      </x:c>
      <x:c r="K73" s="46" t="n">
        <x:v>4</x:v>
      </x:c>
      <x:c r="L73" s="46" t="n">
        <x:v>5</x:v>
      </x:c>
      <x:c r="M73" s="46" t="n">
        <x:v>4</x:v>
      </x:c>
      <x:c r="N73" s="46" t="n">
        <x:v>5</x:v>
      </x:c>
      <x:c r="O73" s="46" t="n">
        <x:v>5</x:v>
      </x:c>
      <x:c r="P73" s="46" t="n">
        <x:v>5</x:v>
      </x:c>
      <x:c r="Q73" s="46" t="n">
        <x:v>5</x:v>
      </x:c>
      <x:c r="R73" s="46" t="n">
        <x:v>4</x:v>
      </x:c>
      <x:c r="S73" s="46" t="n">
        <x:v>4</x:v>
      </x:c>
      <x:c r="T73" s="46" t="n">
        <x:v>4</x:v>
      </x:c>
      <x:c r="U73" s="46" t="n">
        <x:v>4</x:v>
      </x:c>
      <x:c r="V73" s="46" t="n">
        <x:v>5</x:v>
      </x:c>
      <x:c r="W73" s="46" t="n">
        <x:v>5</x:v>
      </x:c>
      <x:c r="X73" s="46" t="n">
        <x:v>4</x:v>
      </x:c>
      <x:c r="Y73" s="46" t="n">
        <x:v>5</x:v>
      </x:c>
      <x:c r="Z73" s="46" t="n">
        <x:v>5</x:v>
      </x:c>
      <x:c r="AA73" s="46" t="n">
        <x:v>4</x:v>
      </x:c>
      <x:c r="AB73" s="46" t="n">
        <x:v>5</x:v>
      </x:c>
      <x:c r="AC73" s="46" t="n">
        <x:v>5</x:v>
      </x:c>
      <x:c r="AD73" s="46" t="n">
        <x:v>5</x:v>
      </x:c>
      <x:c r="AE73" s="46" t="n">
        <x:v>5</x:v>
      </x:c>
      <x:c r="AF73" s="46" t="n">
        <x:v>4</x:v>
      </x:c>
      <x:c r="AG73" s="46" t="n">
        <x:v>4</x:v>
      </x:c>
      <x:c r="AH73" s="46" t="n">
        <x:f>AVERAGE(H73:N73)</x:f>
        <x:v>4.428571428571429</x:v>
      </x:c>
      <x:c r="AI73" s="46" t="n">
        <x:f>AVERAGE(O73:T73)</x:f>
        <x:v>4.5</x:v>
      </x:c>
      <x:c r="AJ73" s="46" t="n">
        <x:f>AVERAGE(U73:Z73)</x:f>
        <x:v>4.666666666666667</x:v>
      </x:c>
      <x:c r="AK73" s="46" t="n">
        <x:f>AVERAGE(AA73:AG73)</x:f>
        <x:v>4.571428571428571</x:v>
      </x:c>
    </x:row>
    <x:row r="74">
      <x:c r="A74" s="44" t="str">
        <x:v>Manual-29</x:v>
      </x:c>
      <x:c r="B74" s="44" t="str">
        <x:v>manual</x:v>
      </x:c>
      <x:c r="C74" s="44" t="str">
        <x:v>35–44</x:v>
      </x:c>
      <x:c r="D74" s="44" t="str">
        <x:v>11–20 years</x:v>
      </x:c>
      <x:c r="E74" s="44" t="str">
        <x:v>Clerical</x:v>
      </x:c>
      <x:c r="F74" s="45" t="n">
        <x:v>0</x:v>
      </x:c>
      <x:c r="G74" s="45" t="n">
        <x:v>0</x:v>
      </x:c>
      <x:c r="H74" s="46" t="n">
        <x:v>5</x:v>
      </x:c>
      <x:c r="I74" s="46" t="n">
        <x:v>4</x:v>
      </x:c>
      <x:c r="J74" s="46" t="n">
        <x:v>5</x:v>
      </x:c>
      <x:c r="K74" s="46" t="n">
        <x:v>5</x:v>
      </x:c>
      <x:c r="L74" s="46" t="n">
        <x:v>4</x:v>
      </x:c>
      <x:c r="M74" s="46" t="n">
        <x:v>5</x:v>
      </x:c>
      <x:c r="N74" s="46" t="n">
        <x:v>5</x:v>
      </x:c>
      <x:c r="O74" s="46" t="n">
        <x:v>5</x:v>
      </x:c>
      <x:c r="P74" s="46" t="n">
        <x:v>5</x:v>
      </x:c>
      <x:c r="Q74" s="46" t="n">
        <x:v>4</x:v>
      </x:c>
      <x:c r="R74" s="46" t="n">
        <x:v>5</x:v>
      </x:c>
      <x:c r="S74" s="46" t="n">
        <x:v>5</x:v>
      </x:c>
      <x:c r="T74" s="46" t="n">
        <x:v>5</x:v>
      </x:c>
      <x:c r="U74" s="46" t="n">
        <x:v>5</x:v>
      </x:c>
      <x:c r="V74" s="46" t="n">
        <x:v>4</x:v>
      </x:c>
      <x:c r="W74" s="46" t="n">
        <x:v>5</x:v>
      </x:c>
      <x:c r="X74" s="46" t="n">
        <x:v>4</x:v>
      </x:c>
      <x:c r="Y74" s="46" t="n">
        <x:v>5</x:v>
      </x:c>
      <x:c r="Z74" s="46" t="n">
        <x:v>5</x:v>
      </x:c>
      <x:c r="AA74" s="46" t="n">
        <x:v>5</x:v>
      </x:c>
      <x:c r="AB74" s="46" t="n">
        <x:v>5</x:v>
      </x:c>
      <x:c r="AC74" s="46" t="n">
        <x:v>4</x:v>
      </x:c>
      <x:c r="AD74" s="46" t="n">
        <x:v>5</x:v>
      </x:c>
      <x:c r="AE74" s="46" t="n">
        <x:v>5</x:v>
      </x:c>
      <x:c r="AF74" s="46" t="n">
        <x:v>4</x:v>
      </x:c>
      <x:c r="AG74" s="46" t="n">
        <x:v>5</x:v>
      </x:c>
      <x:c r="AH74" s="46" t="n">
        <x:f>AVERAGE(H74:N74)</x:f>
        <x:v>4.714285714285714</x:v>
      </x:c>
      <x:c r="AI74" s="46" t="n">
        <x:f>AVERAGE(O74:T74)</x:f>
        <x:v>4.833333333333333</x:v>
      </x:c>
      <x:c r="AJ74" s="46" t="n">
        <x:f>AVERAGE(U74:Z74)</x:f>
        <x:v>4.666666666666667</x:v>
      </x:c>
      <x:c r="AK74" s="46" t="n">
        <x:f>AVERAGE(AA74:AG74)</x:f>
        <x:v>4.714285714285714</x:v>
      </x:c>
    </x:row>
    <x:row r="75">
      <x:c r="A75" s="44" t="str">
        <x:v>Manual-30</x:v>
      </x:c>
      <x:c r="B75" s="44" t="str">
        <x:v>manual</x:v>
      </x:c>
      <x:c r="C75" s="44" t="str">
        <x:v>35–44</x:v>
      </x:c>
      <x:c r="D75" s="44" t="str">
        <x:v>5–10 years</x:v>
      </x:c>
      <x:c r="E75" s="44" t="str">
        <x:v>Officer</x:v>
      </x:c>
      <x:c r="F75" s="45" t="n">
        <x:v>0</x:v>
      </x:c>
      <x:c r="G75" s="45" t="n">
        <x:v>0</x:v>
      </x:c>
      <x:c r="H75" s="46" t="n">
        <x:v>4</x:v>
      </x:c>
      <x:c r="I75" s="46" t="n">
        <x:v>4</x:v>
      </x:c>
      <x:c r="J75" s="46" t="n">
        <x:v>4</x:v>
      </x:c>
      <x:c r="K75" s="46" t="n">
        <x:v>5</x:v>
      </x:c>
      <x:c r="L75" s="46" t="n">
        <x:v>4</x:v>
      </x:c>
      <x:c r="M75" s="46" t="n">
        <x:v>5</x:v>
      </x:c>
      <x:c r="N75" s="46" t="n">
        <x:v>5</x:v>
      </x:c>
      <x:c r="O75" s="46" t="n">
        <x:v>4</x:v>
      </x:c>
      <x:c r="P75" s="46" t="n">
        <x:v>5</x:v>
      </x:c>
      <x:c r="Q75" s="46" t="n">
        <x:v>5</x:v>
      </x:c>
      <x:c r="R75" s="46" t="n">
        <x:v>5</x:v>
      </x:c>
      <x:c r="S75" s="46" t="n">
        <x:v>4</x:v>
      </x:c>
      <x:c r="T75" s="46" t="n">
        <x:v>4</x:v>
      </x:c>
      <x:c r="U75" s="46" t="n">
        <x:v>5</x:v>
      </x:c>
      <x:c r="V75" s="46" t="n">
        <x:v>5</x:v>
      </x:c>
      <x:c r="W75" s="46" t="n">
        <x:v>4</x:v>
      </x:c>
      <x:c r="X75" s="46" t="n">
        <x:v>4</x:v>
      </x:c>
      <x:c r="Y75" s="46" t="n">
        <x:v>4</x:v>
      </x:c>
      <x:c r="Z75" s="46" t="n">
        <x:v>4</x:v>
      </x:c>
      <x:c r="AA75" s="46" t="n">
        <x:v>4</x:v>
      </x:c>
      <x:c r="AB75" s="46" t="n">
        <x:v>5</x:v>
      </x:c>
      <x:c r="AC75" s="46" t="n">
        <x:v>5</x:v>
      </x:c>
      <x:c r="AD75" s="46" t="n">
        <x:v>5</x:v>
      </x:c>
      <x:c r="AE75" s="46" t="n">
        <x:v>5</x:v>
      </x:c>
      <x:c r="AF75" s="46" t="n">
        <x:v>5</x:v>
      </x:c>
      <x:c r="AG75" s="46" t="n">
        <x:v>5</x:v>
      </x:c>
      <x:c r="AH75" s="46" t="n">
        <x:f>AVERAGE(H75:N75)</x:f>
        <x:v>4.428571428571429</x:v>
      </x:c>
      <x:c r="AI75" s="46" t="n">
        <x:f>AVERAGE(O75:T75)</x:f>
        <x:v>4.5</x:v>
      </x:c>
      <x:c r="AJ75" s="46" t="n">
        <x:f>AVERAGE(U75:Z75)</x:f>
        <x:v>4.333333333333333</x:v>
      </x:c>
      <x:c r="AK75" s="46" t="n">
        <x:f>AVERAGE(AA75:AG75)</x:f>
        <x:v>4.857142857142857</x:v>
      </x:c>
    </x:row>
    <x:row r="76">
      <x:c r="A76" s="44" t="str">
        <x:v>Manual-31</x:v>
      </x:c>
      <x:c r="B76" s="44" t="str">
        <x:v>manual</x:v>
      </x:c>
      <x:c r="C76" s="44" t="str">
        <x:v>25–34</x:v>
      </x:c>
      <x:c r="D76" s="44" t="str">
        <x:v>11–20 years</x:v>
      </x:c>
      <x:c r="E76" s="44" t="str">
        <x:v>Clerical</x:v>
      </x:c>
      <x:c r="F76" s="45" t="n">
        <x:v>0</x:v>
      </x:c>
      <x:c r="G76" s="45" t="n">
        <x:v>0</x:v>
      </x:c>
      <x:c r="H76" s="46" t="n">
        <x:v>5</x:v>
      </x:c>
      <x:c r="I76" s="46" t="n">
        <x:v>4</x:v>
      </x:c>
      <x:c r="J76" s="46" t="n">
        <x:v>4</x:v>
      </x:c>
      <x:c r="K76" s="46" t="n">
        <x:v>5</x:v>
      </x:c>
      <x:c r="L76" s="46" t="n">
        <x:v>5</x:v>
      </x:c>
      <x:c r="M76" s="46" t="n">
        <x:v>5</x:v>
      </x:c>
      <x:c r="N76" s="46" t="n">
        <x:v>5</x:v>
      </x:c>
      <x:c r="O76" s="46" t="n">
        <x:v>4</x:v>
      </x:c>
      <x:c r="P76" s="46" t="n">
        <x:v>4</x:v>
      </x:c>
      <x:c r="Q76" s="46" t="n">
        <x:v>4</x:v>
      </x:c>
      <x:c r="R76" s="46" t="n">
        <x:v>4</x:v>
      </x:c>
      <x:c r="S76" s="46" t="n">
        <x:v>4</x:v>
      </x:c>
      <x:c r="T76" s="46" t="n">
        <x:v>4</x:v>
      </x:c>
      <x:c r="U76" s="46" t="n">
        <x:v>5</x:v>
      </x:c>
      <x:c r="V76" s="46" t="n">
        <x:v>5</x:v>
      </x:c>
      <x:c r="W76" s="46" t="n">
        <x:v>5</x:v>
      </x:c>
      <x:c r="X76" s="46" t="n">
        <x:v>5</x:v>
      </x:c>
      <x:c r="Y76" s="46" t="n">
        <x:v>5</x:v>
      </x:c>
      <x:c r="Z76" s="46" t="n">
        <x:v>5</x:v>
      </x:c>
      <x:c r="AA76" s="46" t="n">
        <x:v>5</x:v>
      </x:c>
      <x:c r="AB76" s="46" t="n">
        <x:v>5</x:v>
      </x:c>
      <x:c r="AC76" s="46" t="n">
        <x:v>5</x:v>
      </x:c>
      <x:c r="AD76" s="46" t="n">
        <x:v>5</x:v>
      </x:c>
      <x:c r="AE76" s="46" t="n">
        <x:v>5</x:v>
      </x:c>
      <x:c r="AF76" s="46" t="n">
        <x:v>5</x:v>
      </x:c>
      <x:c r="AG76" s="46" t="n">
        <x:v>5</x:v>
      </x:c>
      <x:c r="AH76" s="46" t="n">
        <x:f>AVERAGE(H76:N76)</x:f>
        <x:v>4.714285714285714</x:v>
      </x:c>
      <x:c r="AI76" s="46" t="n">
        <x:f>AVERAGE(O76:T76)</x:f>
        <x:v>4</x:v>
      </x:c>
      <x:c r="AJ76" s="46" t="n">
        <x:f>AVERAGE(U76:Z76)</x:f>
        <x:v>5</x:v>
      </x:c>
      <x:c r="AK76" s="46" t="n">
        <x:f>AVERAGE(AA76:AG76)</x:f>
        <x:v>5</x:v>
      </x:c>
    </x:row>
    <x:row r="77">
      <x:c r="A77" s="44" t="str">
        <x:v>Manual-33</x:v>
      </x:c>
      <x:c r="B77" s="44" t="str">
        <x:v>manual</x:v>
      </x:c>
      <x:c r="C77" s="44" t="str">
        <x:v>35–44</x:v>
      </x:c>
      <x:c r="D77" s="44" t="str">
        <x:v>11–20 years</x:v>
      </x:c>
      <x:c r="E77" s="44" t="str">
        <x:v>Managerial</x:v>
      </x:c>
      <x:c r="F77" s="45" t="n">
        <x:v>0</x:v>
      </x:c>
      <x:c r="G77" s="45" t="n">
        <x:v>0</x:v>
      </x:c>
      <x:c r="H77" s="46" t="n">
        <x:v>5</x:v>
      </x:c>
      <x:c r="I77" s="46" t="n">
        <x:v>5</x:v>
      </x:c>
      <x:c r="J77" s="46" t="n">
        <x:v>5</x:v>
      </x:c>
      <x:c r="K77" s="46" t="n">
        <x:v>5</x:v>
      </x:c>
      <x:c r="L77" s="46" t="n">
        <x:v>5</x:v>
      </x:c>
      <x:c r="M77" s="46" t="n">
        <x:v>5</x:v>
      </x:c>
      <x:c r="N77" s="46" t="n">
        <x:v>5</x:v>
      </x:c>
      <x:c r="O77" s="46" t="n">
        <x:v>4</x:v>
      </x:c>
      <x:c r="P77" s="46" t="n">
        <x:v>5</x:v>
      </x:c>
      <x:c r="Q77" s="46" t="n">
        <x:v>4</x:v>
      </x:c>
      <x:c r="R77" s="46" t="n">
        <x:v>4</x:v>
      </x:c>
      <x:c r="S77" s="46" t="n">
        <x:v>4</x:v>
      </x:c>
      <x:c r="T77" s="46" t="n">
        <x:v>4</x:v>
      </x:c>
      <x:c r="U77" s="46" t="n">
        <x:v>4</x:v>
      </x:c>
      <x:c r="V77" s="46" t="n">
        <x:v>4</x:v>
      </x:c>
      <x:c r="W77" s="46" t="n">
        <x:v>4</x:v>
      </x:c>
      <x:c r="X77" s="46" t="n">
        <x:v>4</x:v>
      </x:c>
      <x:c r="Y77" s="46" t="n">
        <x:v>4</x:v>
      </x:c>
      <x:c r="Z77" s="46" t="n">
        <x:v>4</x:v>
      </x:c>
      <x:c r="AA77" s="46" t="n">
        <x:v>4</x:v>
      </x:c>
      <x:c r="AB77" s="46" t="n">
        <x:v>4</x:v>
      </x:c>
      <x:c r="AC77" s="46" t="n">
        <x:v>4</x:v>
      </x:c>
      <x:c r="AD77" s="46" t="n">
        <x:v>4</x:v>
      </x:c>
      <x:c r="AE77" s="46" t="n">
        <x:v>4</x:v>
      </x:c>
      <x:c r="AF77" s="46" t="n">
        <x:v>4</x:v>
      </x:c>
      <x:c r="AG77" s="46" t="n">
        <x:v>4</x:v>
      </x:c>
      <x:c r="AH77" s="46" t="n">
        <x:f>AVERAGE(H77:N77)</x:f>
        <x:v>5</x:v>
      </x:c>
      <x:c r="AI77" s="46" t="n">
        <x:f>AVERAGE(O77:T77)</x:f>
        <x:v>4.166666666666667</x:v>
      </x:c>
      <x:c r="AJ77" s="46" t="n">
        <x:f>AVERAGE(U77:Z77)</x:f>
        <x:v>4</x:v>
      </x:c>
      <x:c r="AK77" s="46" t="n">
        <x:f>AVERAGE(AA77:AG77)</x:f>
        <x:v>4</x:v>
      </x:c>
    </x:row>
    <x:row r="78">
      <x:c r="A78" s="44" t="str">
        <x:v>Manual-35</x:v>
      </x:c>
      <x:c r="B78" s="44" t="str">
        <x:v>manual</x:v>
      </x:c>
      <x:c r="C78" s="44" t="str">
        <x:v>35–44</x:v>
      </x:c>
      <x:c r="D78" s="44" t="str">
        <x:v>11–20 years</x:v>
      </x:c>
      <x:c r="E78" s="44" t="str">
        <x:v>Officer</x:v>
      </x:c>
      <x:c r="F78" s="45" t="n">
        <x:v>0</x:v>
      </x:c>
      <x:c r="G78" s="45" t="n">
        <x:v>0</x:v>
      </x:c>
      <x:c r="H78" s="46" t="n">
        <x:v>4</x:v>
      </x:c>
      <x:c r="I78" s="46" t="n">
        <x:v>4</x:v>
      </x:c>
      <x:c r="J78" s="46" t="n">
        <x:v>4</x:v>
      </x:c>
      <x:c r="K78" s="46" t="n">
        <x:v>4</x:v>
      </x:c>
      <x:c r="L78" s="46" t="n">
        <x:v>4</x:v>
      </x:c>
      <x:c r="M78" s="46" t="n">
        <x:v>4</x:v>
      </x:c>
      <x:c r="N78" s="46" t="n">
        <x:v>4</x:v>
      </x:c>
      <x:c r="O78" s="46" t="n">
        <x:v>4</x:v>
      </x:c>
      <x:c r="P78" s="46" t="n">
        <x:v>4</x:v>
      </x:c>
      <x:c r="Q78" s="46" t="n">
        <x:v>4</x:v>
      </x:c>
      <x:c r="R78" s="46" t="n">
        <x:v>4</x:v>
      </x:c>
      <x:c r="S78" s="46" t="n">
        <x:v>3</x:v>
      </x:c>
      <x:c r="T78" s="46" t="n">
        <x:v>3</x:v>
      </x:c>
      <x:c r="U78" s="46" t="n">
        <x:v>4</x:v>
      </x:c>
      <x:c r="V78" s="46" t="n">
        <x:v>4</x:v>
      </x:c>
      <x:c r="W78" s="46" t="n">
        <x:v>4</x:v>
      </x:c>
      <x:c r="X78" s="46" t="n">
        <x:v>4</x:v>
      </x:c>
      <x:c r="Y78" s="46" t="n">
        <x:v>3</x:v>
      </x:c>
      <x:c r="Z78" s="46" t="n">
        <x:v>4</x:v>
      </x:c>
      <x:c r="AA78" s="46" t="n">
        <x:v>4</x:v>
      </x:c>
      <x:c r="AB78" s="46" t="n">
        <x:v>4</x:v>
      </x:c>
      <x:c r="AC78" s="46" t="n">
        <x:v>5</x:v>
      </x:c>
      <x:c r="AD78" s="46" t="n">
        <x:v>4</x:v>
      </x:c>
      <x:c r="AE78" s="46" t="n">
        <x:v>4</x:v>
      </x:c>
      <x:c r="AF78" s="46" t="n">
        <x:v>4</x:v>
      </x:c>
      <x:c r="AG78" s="46" t="n">
        <x:v>4</x:v>
      </x:c>
      <x:c r="AH78" s="46" t="n">
        <x:f>AVERAGE(H78:N78)</x:f>
        <x:v>4</x:v>
      </x:c>
      <x:c r="AI78" s="46" t="n">
        <x:f>AVERAGE(O78:T78)</x:f>
        <x:v>3.6666666666666665</x:v>
      </x:c>
      <x:c r="AJ78" s="46" t="n">
        <x:f>AVERAGE(U78:Z78)</x:f>
        <x:v>3.8333333333333335</x:v>
      </x:c>
      <x:c r="AK78" s="46" t="n">
        <x:f>AVERAGE(AA78:AG78)</x:f>
        <x:v>4.142857142857143</x:v>
      </x:c>
    </x:row>
    <x:row r="79">
      <x:c r="A79" s="44" t="str">
        <x:v>Manual-36</x:v>
      </x:c>
      <x:c r="B79" s="44" t="str">
        <x:v>manual</x:v>
      </x:c>
      <x:c r="C79" s="44" t="str">
        <x:v>35–44</x:v>
      </x:c>
      <x:c r="D79" s="44" t="str">
        <x:v>5–10 years</x:v>
      </x:c>
      <x:c r="E79" s="44" t="str">
        <x:v>Officer</x:v>
      </x:c>
      <x:c r="F79" s="45" t="n">
        <x:v>0</x:v>
      </x:c>
      <x:c r="G79" s="45" t="n">
        <x:v>0</x:v>
      </x:c>
      <x:c r="H79" s="46" t="n">
        <x:v>5</x:v>
      </x:c>
      <x:c r="I79" s="46" t="n">
        <x:v>5</x:v>
      </x:c>
      <x:c r="J79" s="46" t="n">
        <x:v>5</x:v>
      </x:c>
      <x:c r="K79" s="46" t="n">
        <x:v>5</x:v>
      </x:c>
      <x:c r="L79" s="46" t="n">
        <x:v>5</x:v>
      </x:c>
      <x:c r="M79" s="46" t="n">
        <x:v>5</x:v>
      </x:c>
      <x:c r="N79" s="46" t="n">
        <x:v>5</x:v>
      </x:c>
      <x:c r="O79" s="46" t="n">
        <x:v>5</x:v>
      </x:c>
      <x:c r="P79" s="46" t="n">
        <x:v>4</x:v>
      </x:c>
      <x:c r="Q79" s="46" t="n">
        <x:v>5</x:v>
      </x:c>
      <x:c r="R79" s="46" t="n">
        <x:v>5</x:v>
      </x:c>
      <x:c r="S79" s="46" t="n">
        <x:v>5</x:v>
      </x:c>
      <x:c r="T79" s="46" t="n">
        <x:v>5</x:v>
      </x:c>
      <x:c r="U79" s="46" t="n">
        <x:v>5</x:v>
      </x:c>
      <x:c r="V79" s="46" t="n">
        <x:v>5</x:v>
      </x:c>
      <x:c r="W79" s="46" t="n">
        <x:v>5</x:v>
      </x:c>
      <x:c r="X79" s="46" t="n">
        <x:v>5</x:v>
      </x:c>
      <x:c r="Y79" s="46" t="n">
        <x:v>5</x:v>
      </x:c>
      <x:c r="Z79" s="46" t="n">
        <x:v>5</x:v>
      </x:c>
      <x:c r="AA79" s="46" t="n">
        <x:v>5</x:v>
      </x:c>
      <x:c r="AB79" s="46" t="n">
        <x:v>5</x:v>
      </x:c>
      <x:c r="AC79" s="46" t="n">
        <x:v>5</x:v>
      </x:c>
      <x:c r="AD79" s="46" t="n">
        <x:v>5</x:v>
      </x:c>
      <x:c r="AE79" s="46" t="n">
        <x:v>5</x:v>
      </x:c>
      <x:c r="AF79" s="46" t="n">
        <x:v>5</x:v>
      </x:c>
      <x:c r="AG79" s="46" t="n">
        <x:v>5</x:v>
      </x:c>
      <x:c r="AH79" s="46" t="n">
        <x:f>AVERAGE(H79:N79)</x:f>
        <x:v>5</x:v>
      </x:c>
      <x:c r="AI79" s="46" t="n">
        <x:f>AVERAGE(O79:T79)</x:f>
        <x:v>4.833333333333333</x:v>
      </x:c>
      <x:c r="AJ79" s="46" t="n">
        <x:f>AVERAGE(U79:Z79)</x:f>
        <x:v>5</x:v>
      </x:c>
      <x:c r="AK79" s="46" t="n">
        <x:f>AVERAGE(AA79:AG79)</x:f>
        <x:v>5</x:v>
      </x:c>
    </x:row>
    <x:row r="80">
      <x:c r="A80" s="44" t="str">
        <x:v>Manual-38</x:v>
      </x:c>
      <x:c r="B80" s="44" t="str">
        <x:v>manual</x:v>
      </x:c>
      <x:c r="C80" s="44" t="str">
        <x:v>55 and above</x:v>
      </x:c>
      <x:c r="D80" s="44" t="str">
        <x:v>11–20 years</x:v>
      </x:c>
      <x:c r="E80" s="44" t="str">
        <x:v>Managerial</x:v>
      </x:c>
      <x:c r="F80" s="45" t="n">
        <x:v>0</x:v>
      </x:c>
      <x:c r="G80" s="45" t="n">
        <x:v>0</x:v>
      </x:c>
      <x:c r="H80" s="46" t="n">
        <x:v>5</x:v>
      </x:c>
      <x:c r="I80" s="46" t="n">
        <x:v>5</x:v>
      </x:c>
      <x:c r="J80" s="46" t="n">
        <x:v>5</x:v>
      </x:c>
      <x:c r="K80" s="46" t="n">
        <x:v>4</x:v>
      </x:c>
      <x:c r="L80" s="46" t="n">
        <x:v>5</x:v>
      </x:c>
      <x:c r="M80" s="46" t="n">
        <x:v>5</x:v>
      </x:c>
      <x:c r="N80" s="46" t="n">
        <x:v>5</x:v>
      </x:c>
      <x:c r="O80" s="46" t="n">
        <x:v>5</x:v>
      </x:c>
      <x:c r="P80" s="46" t="n">
        <x:v>5</x:v>
      </x:c>
      <x:c r="Q80" s="46" t="n">
        <x:v>5</x:v>
      </x:c>
      <x:c r="R80" s="46" t="n">
        <x:v>5</x:v>
      </x:c>
      <x:c r="S80" s="46" t="n">
        <x:v>5</x:v>
      </x:c>
      <x:c r="T80" s="46" t="n">
        <x:v>5</x:v>
      </x:c>
      <x:c r="U80" s="46" t="n">
        <x:v>5</x:v>
      </x:c>
      <x:c r="V80" s="46" t="n">
        <x:v>4</x:v>
      </x:c>
      <x:c r="W80" s="46" t="n">
        <x:v>4</x:v>
      </x:c>
      <x:c r="X80" s="46" t="n">
        <x:v>4</x:v>
      </x:c>
      <x:c r="Y80" s="46" t="n">
        <x:v>5</x:v>
      </x:c>
      <x:c r="Z80" s="46" t="n">
        <x:v>5</x:v>
      </x:c>
      <x:c r="AA80" s="46" t="n">
        <x:v>5</x:v>
      </x:c>
      <x:c r="AB80" s="46" t="n">
        <x:v>5</x:v>
      </x:c>
      <x:c r="AC80" s="46" t="n">
        <x:v>5</x:v>
      </x:c>
      <x:c r="AD80" s="46" t="n">
        <x:v>4</x:v>
      </x:c>
      <x:c r="AE80" s="46" t="n">
        <x:v>4</x:v>
      </x:c>
      <x:c r="AF80" s="46" t="n">
        <x:v>4</x:v>
      </x:c>
      <x:c r="AG80" s="46" t="n">
        <x:v>5</x:v>
      </x:c>
      <x:c r="AH80" s="46" t="n">
        <x:f>AVERAGE(H80:N80)</x:f>
        <x:v>4.857142857142857</x:v>
      </x:c>
      <x:c r="AI80" s="46" t="n">
        <x:f>AVERAGE(O80:T80)</x:f>
        <x:v>5</x:v>
      </x:c>
      <x:c r="AJ80" s="46" t="n">
        <x:f>AVERAGE(U80:Z80)</x:f>
        <x:v>4.5</x:v>
      </x:c>
      <x:c r="AK80" s="46" t="n">
        <x:f>AVERAGE(AA80:AG80)</x:f>
        <x:v>4.571428571428571</x:v>
      </x:c>
    </x:row>
    <x:row r="81">
      <x:c r="A81" s="44" t="str">
        <x:v>Manual-39</x:v>
      </x:c>
      <x:c r="B81" s="44" t="str">
        <x:v>manual</x:v>
      </x:c>
      <x:c r="C81" s="44" t="str">
        <x:v>35–44</x:v>
      </x:c>
      <x:c r="D81" s="44" t="str">
        <x:v>11–20 years</x:v>
      </x:c>
      <x:c r="E81" s="44" t="str">
        <x:v>Officer</x:v>
      </x:c>
      <x:c r="F81" s="45" t="n">
        <x:v>0</x:v>
      </x:c>
      <x:c r="G81" s="45" t="n">
        <x:v>0</x:v>
      </x:c>
      <x:c r="H81" s="46" t="n">
        <x:v>5</x:v>
      </x:c>
      <x:c r="I81" s="46" t="n">
        <x:v>4</x:v>
      </x:c>
      <x:c r="J81" s="46" t="n">
        <x:v>5</x:v>
      </x:c>
      <x:c r="K81" s="46" t="n">
        <x:v>4</x:v>
      </x:c>
      <x:c r="L81" s="46" t="n">
        <x:v>4</x:v>
      </x:c>
      <x:c r="M81" s="46" t="n">
        <x:v>4</x:v>
      </x:c>
      <x:c r="N81" s="46" t="n">
        <x:v>4</x:v>
      </x:c>
      <x:c r="O81" s="46" t="n">
        <x:v>5</x:v>
      </x:c>
      <x:c r="P81" s="46" t="n">
        <x:v>5</x:v>
      </x:c>
      <x:c r="Q81" s="46" t="n">
        <x:v>5</x:v>
      </x:c>
      <x:c r="R81" s="46" t="n">
        <x:v>4</x:v>
      </x:c>
      <x:c r="S81" s="46" t="n">
        <x:v>4</x:v>
      </x:c>
      <x:c r="T81" s="46" t="n">
        <x:v>4</x:v>
      </x:c>
      <x:c r="U81" s="46" t="n">
        <x:v>5</x:v>
      </x:c>
      <x:c r="V81" s="46" t="n">
        <x:v>5</x:v>
      </x:c>
      <x:c r="W81" s="46" t="n">
        <x:v>5</x:v>
      </x:c>
      <x:c r="X81" s="46" t="n">
        <x:v>5</x:v>
      </x:c>
      <x:c r="Y81" s="46" t="n">
        <x:v>5</x:v>
      </x:c>
      <x:c r="Z81" s="46" t="n">
        <x:v>5</x:v>
      </x:c>
      <x:c r="AA81" s="46" t="n">
        <x:v>5</x:v>
      </x:c>
      <x:c r="AB81" s="46" t="n">
        <x:v>5</x:v>
      </x:c>
      <x:c r="AC81" s="46" t="n">
        <x:v>5</x:v>
      </x:c>
      <x:c r="AD81" s="46" t="n">
        <x:v>5</x:v>
      </x:c>
      <x:c r="AE81" s="46" t="n">
        <x:v>5</x:v>
      </x:c>
      <x:c r="AF81" s="46" t="n">
        <x:v>5</x:v>
      </x:c>
      <x:c r="AG81" s="46" t="n">
        <x:v>5</x:v>
      </x:c>
      <x:c r="AH81" s="46" t="n">
        <x:f>AVERAGE(H81:N81)</x:f>
        <x:v>4.285714285714286</x:v>
      </x:c>
      <x:c r="AI81" s="46" t="n">
        <x:f>AVERAGE(O81:T81)</x:f>
        <x:v>4.5</x:v>
      </x:c>
      <x:c r="AJ81" s="46" t="n">
        <x:f>AVERAGE(U81:Z81)</x:f>
        <x:v>5</x:v>
      </x:c>
      <x:c r="AK81" s="46" t="n">
        <x:f>AVERAGE(AA81:AG81)</x:f>
        <x:v>5</x:v>
      </x:c>
    </x:row>
    <x:row r="82">
      <x:c r="A82" s="44" t="str">
        <x:v>Manual-41</x:v>
      </x:c>
      <x:c r="B82" s="44" t="str">
        <x:v>manual</x:v>
      </x:c>
      <x:c r="C82" s="44" t="str">
        <x:v>35–44</x:v>
      </x:c>
      <x:c r="D82" s="44" t="str">
        <x:v>Below 5 years</x:v>
      </x:c>
      <x:c r="E82" s="44" t="str">
        <x:v>Officer</x:v>
      </x:c>
      <x:c r="F82" s="45" t="n">
        <x:v>0</x:v>
      </x:c>
      <x:c r="G82" s="45" t="n">
        <x:v>0</x:v>
      </x:c>
      <x:c r="H82" s="46" t="n">
        <x:v>5</x:v>
      </x:c>
      <x:c r="I82" s="46" t="n">
        <x:v>5</x:v>
      </x:c>
      <x:c r="J82" s="46" t="n">
        <x:v>4</x:v>
      </x:c>
      <x:c r="K82" s="46" t="n">
        <x:v>5</x:v>
      </x:c>
      <x:c r="L82" s="46" t="n">
        <x:v>5</x:v>
      </x:c>
      <x:c r="M82" s="46" t="n">
        <x:v>5</x:v>
      </x:c>
      <x:c r="N82" s="46" t="n">
        <x:v>5</x:v>
      </x:c>
      <x:c r="O82" s="46" t="n">
        <x:v>4</x:v>
      </x:c>
      <x:c r="P82" s="46" t="n">
        <x:v>4</x:v>
      </x:c>
      <x:c r="Q82" s="46" t="n">
        <x:v>5</x:v>
      </x:c>
      <x:c r="R82" s="46" t="n">
        <x:v>5</x:v>
      </x:c>
      <x:c r="S82" s="46" t="n">
        <x:v>5</x:v>
      </x:c>
      <x:c r="T82" s="46" t="n">
        <x:v>5</x:v>
      </x:c>
      <x:c r="U82" s="46" t="n">
        <x:v>4</x:v>
      </x:c>
      <x:c r="V82" s="46" t="n">
        <x:v>4</x:v>
      </x:c>
      <x:c r="W82" s="46" t="n">
        <x:v>4</x:v>
      </x:c>
      <x:c r="X82" s="46" t="n">
        <x:v>5</x:v>
      </x:c>
      <x:c r="Y82" s="46" t="n">
        <x:v>5</x:v>
      </x:c>
      <x:c r="Z82" s="46" t="n">
        <x:v>5</x:v>
      </x:c>
      <x:c r="AA82" s="46" t="n">
        <x:v>5</x:v>
      </x:c>
      <x:c r="AB82" s="46" t="n">
        <x:v>5</x:v>
      </x:c>
      <x:c r="AC82" s="46" t="n">
        <x:v>5</x:v>
      </x:c>
      <x:c r="AD82" s="46" t="n">
        <x:v>5</x:v>
      </x:c>
      <x:c r="AE82" s="46" t="n">
        <x:v>5</x:v>
      </x:c>
      <x:c r="AF82" s="46" t="n">
        <x:v>5</x:v>
      </x:c>
      <x:c r="AG82" s="46" t="n">
        <x:v>5</x:v>
      </x:c>
      <x:c r="AH82" s="46" t="n">
        <x:f>AVERAGE(H82:N82)</x:f>
        <x:v>4.857142857142857</x:v>
      </x:c>
      <x:c r="AI82" s="46" t="n">
        <x:f>AVERAGE(O82:T82)</x:f>
        <x:v>4.666666666666667</x:v>
      </x:c>
      <x:c r="AJ82" s="46" t="n">
        <x:f>AVERAGE(U82:Z82)</x:f>
        <x:v>4.5</x:v>
      </x:c>
      <x:c r="AK82" s="46" t="n">
        <x:f>AVERAGE(AA82:AG82)</x:f>
        <x:v>5</x:v>
      </x:c>
    </x:row>
    <x:row r="83">
      <x:c r="A83" s="44" t="str">
        <x:v>Manual-42</x:v>
      </x:c>
      <x:c r="B83" s="44" t="str">
        <x:v>manual</x:v>
      </x:c>
      <x:c r="C83" s="44" t="str">
        <x:v>25–34</x:v>
      </x:c>
      <x:c r="D83" s="44" t="str">
        <x:v>5–10 years</x:v>
      </x:c>
      <x:c r="E83" s="44" t="str">
        <x:v>Clerical</x:v>
      </x:c>
      <x:c r="F83" s="45" t="n">
        <x:v>0</x:v>
      </x:c>
      <x:c r="G83" s="45" t="n">
        <x:v>0</x:v>
      </x:c>
      <x:c r="H83" s="46" t="n">
        <x:v>5</x:v>
      </x:c>
      <x:c r="I83" s="46" t="n">
        <x:v>5</x:v>
      </x:c>
      <x:c r="J83" s="46" t="n">
        <x:v>5</x:v>
      </x:c>
      <x:c r="K83" s="46" t="n">
        <x:v>5</x:v>
      </x:c>
      <x:c r="L83" s="46" t="n">
        <x:v>5</x:v>
      </x:c>
      <x:c r="M83" s="46" t="n">
        <x:v>5</x:v>
      </x:c>
      <x:c r="N83" s="46" t="n">
        <x:v>5</x:v>
      </x:c>
      <x:c r="O83" s="46" t="n">
        <x:v>5</x:v>
      </x:c>
      <x:c r="P83" s="46" t="n">
        <x:v>5</x:v>
      </x:c>
      <x:c r="Q83" s="46" t="n">
        <x:v>5</x:v>
      </x:c>
      <x:c r="R83" s="46" t="n">
        <x:v>5</x:v>
      </x:c>
      <x:c r="S83" s="46" t="n">
        <x:v>5</x:v>
      </x:c>
      <x:c r="T83" s="46" t="n">
        <x:v>5</x:v>
      </x:c>
      <x:c r="U83" s="46" t="n">
        <x:v>5</x:v>
      </x:c>
      <x:c r="V83" s="46" t="n">
        <x:v>5</x:v>
      </x:c>
      <x:c r="W83" s="46" t="n">
        <x:v>5</x:v>
      </x:c>
      <x:c r="X83" s="46" t="n">
        <x:v>4</x:v>
      </x:c>
      <x:c r="Y83" s="46" t="n">
        <x:v>4</x:v>
      </x:c>
      <x:c r="Z83" s="46" t="n">
        <x:v>5</x:v>
      </x:c>
      <x:c r="AA83" s="46" t="n">
        <x:v>4</x:v>
      </x:c>
      <x:c r="AB83" s="46" t="n">
        <x:v>5</x:v>
      </x:c>
      <x:c r="AC83" s="46" t="n">
        <x:v>5</x:v>
      </x:c>
      <x:c r="AD83" s="46" t="n">
        <x:v>5</x:v>
      </x:c>
      <x:c r="AE83" s="46" t="n">
        <x:v>4</x:v>
      </x:c>
      <x:c r="AF83" s="46" t="n">
        <x:v>5</x:v>
      </x:c>
      <x:c r="AG83" s="46" t="n">
        <x:v>5</x:v>
      </x:c>
      <x:c r="AH83" s="46" t="n">
        <x:f>AVERAGE(H83:N83)</x:f>
        <x:v>5</x:v>
      </x:c>
      <x:c r="AI83" s="46" t="n">
        <x:f>AVERAGE(O83:T83)</x:f>
        <x:v>5</x:v>
      </x:c>
      <x:c r="AJ83" s="46" t="n">
        <x:f>AVERAGE(U83:Z83)</x:f>
        <x:v>4.666666666666667</x:v>
      </x:c>
      <x:c r="AK83" s="46" t="n">
        <x:f>AVERAGE(AA83:AG83)</x:f>
        <x:v>4.714285714285714</x:v>
      </x:c>
    </x:row>
    <x:row r="84">
      <x:c r="A84" s="44" t="str">
        <x:v>Manual-46</x:v>
      </x:c>
      <x:c r="B84" s="44" t="str">
        <x:v>manual</x:v>
      </x:c>
      <x:c r="C84" s="44" t="str">
        <x:v>25–34</x:v>
      </x:c>
      <x:c r="D84" s="44" t="str">
        <x:v>5–10 years</x:v>
      </x:c>
      <x:c r="E84" s="44" t="str">
        <x:v>Officer</x:v>
      </x:c>
      <x:c r="F84" s="45" t="n">
        <x:v>1</x:v>
      </x:c>
      <x:c r="G84" s="45" t="n">
        <x:v>0</x:v>
      </x:c>
      <x:c r="H84" s="46" t="n">
        <x:v>4</x:v>
      </x:c>
      <x:c r="I84" s="46" t="n">
        <x:v>3</x:v>
      </x:c>
      <x:c r="J84" s="46" t="n">
        <x:v>4</x:v>
      </x:c>
      <x:c r="K84" s="46" t="n">
        <x:v>4</x:v>
      </x:c>
      <x:c r="L84" s="46" t="n">
        <x:v>3</x:v>
      </x:c>
      <x:c r="M84" s="46" t="n">
        <x:v>5</x:v>
      </x:c>
      <x:c r="N84" s="46" t="n">
        <x:v>5</x:v>
      </x:c>
      <x:c r="O84" s="46" t="n">
        <x:v>4</x:v>
      </x:c>
      <x:c r="P84" s="46" t="n">
        <x:v>4</x:v>
      </x:c>
      <x:c r="Q84" s="46" t="n">
        <x:v>4</x:v>
      </x:c>
      <x:c r="R84" s="46" t="n">
        <x:v>4</x:v>
      </x:c>
      <x:c r="S84" s="46" t="n">
        <x:v>3</x:v>
      </x:c>
      <x:c r="T84" s="46" t="n">
        <x:v>4</x:v>
      </x:c>
      <x:c r="U84" s="46" t="n">
        <x:v>4</x:v>
      </x:c>
      <x:c r="V84" s="46" t="n">
        <x:v>3</x:v>
      </x:c>
      <x:c r="W84" s="46" t="n">
        <x:v>2</x:v>
      </x:c>
      <x:c r="X84" s="46" t="n">
        <x:v>3</x:v>
      </x:c>
      <x:c r="Y84" s="46" t="n">
        <x:v>4</x:v>
      </x:c>
      <x:c r="Z84" s="46" t="n">
        <x:v>3</x:v>
      </x:c>
      <x:c r="AA84" s="46" t="n">
        <x:v>4</x:v>
      </x:c>
      <x:c r="AB84" s="46" t="n">
        <x:v>4</x:v>
      </x:c>
      <x:c r="AC84" s="46" t="n">
        <x:v>4</x:v>
      </x:c>
      <x:c r="AD84" s="46" t="n">
        <x:v>4</x:v>
      </x:c>
      <x:c r="AE84" s="46" t="n">
        <x:v>4</x:v>
      </x:c>
      <x:c r="AF84" s="46" t="n">
        <x:v>3</x:v>
      </x:c>
      <x:c r="AG84" s="46" t="n">
        <x:v>3</x:v>
      </x:c>
      <x:c r="AH84" s="46" t="n">
        <x:f>AVERAGE(H84:N84)</x:f>
        <x:v>4</x:v>
      </x:c>
      <x:c r="AI84" s="46" t="n">
        <x:f>AVERAGE(O84:T84)</x:f>
        <x:v>3.8333333333333335</x:v>
      </x:c>
      <x:c r="AJ84" s="46" t="n">
        <x:f>AVERAGE(U84:Z84)</x:f>
        <x:v>3.1666666666666665</x:v>
      </x:c>
      <x:c r="AK84" s="46" t="n">
        <x:f>AVERAGE(AA84:AG84)</x:f>
        <x:v>3.7142857142857144</x:v>
      </x:c>
    </x:row>
    <x:row r="85">
      <x:c r="A85" s="44" t="str">
        <x:v>Manual-47</x:v>
      </x:c>
      <x:c r="B85" s="44" t="str">
        <x:v>manual</x:v>
      </x:c>
      <x:c r="C85" s="44" t="str">
        <x:v>25–34</x:v>
      </x:c>
      <x:c r="D85" s="44" t="str">
        <x:v>5–10 years</x:v>
      </x:c>
      <x:c r="E85" s="44" t="str">
        <x:v>Officer</x:v>
      </x:c>
      <x:c r="F85" s="45" t="n">
        <x:v>0</x:v>
      </x:c>
      <x:c r="G85" s="45" t="n">
        <x:v>0</x:v>
      </x:c>
      <x:c r="H85" s="46" t="n">
        <x:v>4</x:v>
      </x:c>
      <x:c r="I85" s="46" t="n">
        <x:v>4</x:v>
      </x:c>
      <x:c r="J85" s="46" t="n">
        <x:v>4</x:v>
      </x:c>
      <x:c r="K85" s="46" t="n">
        <x:v>5</x:v>
      </x:c>
      <x:c r="L85" s="46" t="n">
        <x:v>5</x:v>
      </x:c>
      <x:c r="M85" s="46" t="n">
        <x:v>4</x:v>
      </x:c>
      <x:c r="N85" s="46" t="n">
        <x:v>4</x:v>
      </x:c>
      <x:c r="O85" s="46" t="n">
        <x:v>5</x:v>
      </x:c>
      <x:c r="P85" s="46" t="n">
        <x:v>4</x:v>
      </x:c>
      <x:c r="Q85" s="46" t="n">
        <x:v>4</x:v>
      </x:c>
      <x:c r="R85" s="46" t="n">
        <x:v>4</x:v>
      </x:c>
      <x:c r="S85" s="46" t="n">
        <x:v>4</x:v>
      </x:c>
      <x:c r="T85" s="46" t="n">
        <x:v>4</x:v>
      </x:c>
      <x:c r="U85" s="46" t="n">
        <x:v>4</x:v>
      </x:c>
      <x:c r="V85" s="46" t="n">
        <x:v>4</x:v>
      </x:c>
      <x:c r="W85" s="46" t="n">
        <x:v>4</x:v>
      </x:c>
      <x:c r="X85" s="46" t="n">
        <x:v>4</x:v>
      </x:c>
      <x:c r="Y85" s="46" t="n">
        <x:v>4</x:v>
      </x:c>
      <x:c r="Z85" s="46" t="n">
        <x:v>4</x:v>
      </x:c>
      <x:c r="AA85" s="46" t="n">
        <x:v>5</x:v>
      </x:c>
      <x:c r="AB85" s="46" t="n">
        <x:v>4</x:v>
      </x:c>
      <x:c r="AC85" s="46" t="n">
        <x:v>4</x:v>
      </x:c>
      <x:c r="AD85" s="46" t="n">
        <x:v>4</x:v>
      </x:c>
      <x:c r="AE85" s="46" t="n">
        <x:v>4</x:v>
      </x:c>
      <x:c r="AF85" s="46" t="n">
        <x:v>4</x:v>
      </x:c>
      <x:c r="AG85" s="46" t="n">
        <x:v>4</x:v>
      </x:c>
      <x:c r="AH85" s="46" t="n">
        <x:f>AVERAGE(H85:N85)</x:f>
        <x:v>4.285714285714286</x:v>
      </x:c>
      <x:c r="AI85" s="46" t="n">
        <x:f>AVERAGE(O85:T85)</x:f>
        <x:v>4.166666666666667</x:v>
      </x:c>
      <x:c r="AJ85" s="46" t="n">
        <x:f>AVERAGE(U85:Z85)</x:f>
        <x:v>4</x:v>
      </x:c>
      <x:c r="AK85" s="46" t="n">
        <x:f>AVERAGE(AA85:AG85)</x:f>
        <x:v>4.142857142857143</x:v>
      </x:c>
    </x:row>
    <x:row r="86">
      <x:c r="A86" s="44" t="str">
        <x:v>Manual-48</x:v>
      </x:c>
      <x:c r="B86" s="44" t="str">
        <x:v>manual</x:v>
      </x:c>
      <x:c r="C86" s="44" t="str">
        <x:v>35–44</x:v>
      </x:c>
      <x:c r="D86" s="44" t="str">
        <x:v>5–10 years</x:v>
      </x:c>
      <x:c r="E86" s="44" t="str">
        <x:v>Officer</x:v>
      </x:c>
      <x:c r="F86" s="45" t="n">
        <x:v>0</x:v>
      </x:c>
      <x:c r="G86" s="45" t="n">
        <x:v>0</x:v>
      </x:c>
      <x:c r="H86" s="46" t="n">
        <x:v>4</x:v>
      </x:c>
      <x:c r="I86" s="46" t="n">
        <x:v>3</x:v>
      </x:c>
      <x:c r="J86" s="46" t="n">
        <x:v>3</x:v>
      </x:c>
      <x:c r="K86" s="46" t="n">
        <x:v>4</x:v>
      </x:c>
      <x:c r="L86" s="46" t="n">
        <x:v>4</x:v>
      </x:c>
      <x:c r="M86" s="46" t="n">
        <x:v>4</x:v>
      </x:c>
      <x:c r="N86" s="46" t="n">
        <x:v>4</x:v>
      </x:c>
      <x:c r="O86" s="46" t="n">
        <x:v>4</x:v>
      </x:c>
      <x:c r="P86" s="46" t="n">
        <x:v>4</x:v>
      </x:c>
      <x:c r="Q86" s="46" t="n">
        <x:v>4</x:v>
      </x:c>
      <x:c r="R86" s="46" t="n">
        <x:v>4</x:v>
      </x:c>
      <x:c r="S86" s="46" t="n">
        <x:v>4</x:v>
      </x:c>
      <x:c r="T86" s="46" t="n">
        <x:v>4</x:v>
      </x:c>
      <x:c r="U86" s="46" t="n">
        <x:v>3</x:v>
      </x:c>
      <x:c r="V86" s="46" t="n">
        <x:v>4</x:v>
      </x:c>
      <x:c r="W86" s="46" t="n">
        <x:v>4</x:v>
      </x:c>
      <x:c r="X86" s="46" t="n">
        <x:v>4</x:v>
      </x:c>
      <x:c r="Y86" s="46" t="n">
        <x:v>3</x:v>
      </x:c>
      <x:c r="Z86" s="46" t="n">
        <x:v>4</x:v>
      </x:c>
      <x:c r="AA86" s="46" t="n">
        <x:v>4</x:v>
      </x:c>
      <x:c r="AB86" s="46" t="n">
        <x:v>3</x:v>
      </x:c>
      <x:c r="AC86" s="46" t="n">
        <x:v>4</x:v>
      </x:c>
      <x:c r="AD86" s="46" t="n">
        <x:v>3</x:v>
      </x:c>
      <x:c r="AE86" s="46" t="n">
        <x:v>4</x:v>
      </x:c>
      <x:c r="AF86" s="46" t="n">
        <x:v>3</x:v>
      </x:c>
      <x:c r="AG86" s="46" t="n">
        <x:v>3</x:v>
      </x:c>
      <x:c r="AH86" s="46" t="n">
        <x:f>AVERAGE(H86:N86)</x:f>
        <x:v>3.7142857142857144</x:v>
      </x:c>
      <x:c r="AI86" s="46" t="n">
        <x:f>AVERAGE(O86:T86)</x:f>
        <x:v>4</x:v>
      </x:c>
      <x:c r="AJ86" s="46" t="n">
        <x:f>AVERAGE(U86:Z86)</x:f>
        <x:v>3.6666666666666665</x:v>
      </x:c>
      <x:c r="AK86" s="46" t="n">
        <x:f>AVERAGE(AA86:AG86)</x:f>
        <x:v>3.4285714285714284</x:v>
      </x:c>
    </x:row>
    <x:row r="87">
      <x:c r="A87" s="44" t="str">
        <x:v>Manual-50</x:v>
      </x:c>
      <x:c r="B87" s="44" t="str">
        <x:v>manual</x:v>
      </x:c>
      <x:c r="C87" s="44" t="str">
        <x:v>55 and above</x:v>
      </x:c>
      <x:c r="D87" s="44" t="str">
        <x:v>11–20 years</x:v>
      </x:c>
      <x:c r="E87" s="44" t="str">
        <x:v>Managerial</x:v>
      </x:c>
      <x:c r="F87" s="45" t="n">
        <x:v>0</x:v>
      </x:c>
      <x:c r="G87" s="45" t="n">
        <x:v>0</x:v>
      </x:c>
      <x:c r="H87" s="46" t="n">
        <x:v>4</x:v>
      </x:c>
      <x:c r="I87" s="46" t="n">
        <x:v>4</x:v>
      </x:c>
      <x:c r="J87" s="46" t="n">
        <x:v>4</x:v>
      </x:c>
      <x:c r="K87" s="46" t="n">
        <x:v>5</x:v>
      </x:c>
      <x:c r="L87" s="46" t="n">
        <x:v>4</x:v>
      </x:c>
      <x:c r="M87" s="46" t="n">
        <x:v>5</x:v>
      </x:c>
      <x:c r="N87" s="46" t="n">
        <x:v>5</x:v>
      </x:c>
      <x:c r="O87" s="46" t="n">
        <x:v>4</x:v>
      </x:c>
      <x:c r="P87" s="46" t="n">
        <x:v>4</x:v>
      </x:c>
      <x:c r="Q87" s="46" t="n">
        <x:v>4</x:v>
      </x:c>
      <x:c r="R87" s="46" t="n">
        <x:v>4</x:v>
      </x:c>
      <x:c r="S87" s="46" t="n">
        <x:v>4</x:v>
      </x:c>
      <x:c r="T87" s="46" t="n">
        <x:v>5</x:v>
      </x:c>
      <x:c r="U87" s="46" t="n">
        <x:v>3</x:v>
      </x:c>
      <x:c r="V87" s="46" t="n">
        <x:v>3</x:v>
      </x:c>
      <x:c r="W87" s="46" t="n">
        <x:v>4</x:v>
      </x:c>
      <x:c r="X87" s="46" t="n">
        <x:v>4</x:v>
      </x:c>
      <x:c r="Y87" s="46" t="n">
        <x:v>4</x:v>
      </x:c>
      <x:c r="Z87" s="46" t="n">
        <x:v>4</x:v>
      </x:c>
      <x:c r="AA87" s="46" t="n">
        <x:v>4</x:v>
      </x:c>
      <x:c r="AB87" s="46" t="n">
        <x:v>3</x:v>
      </x:c>
      <x:c r="AC87" s="46" t="n">
        <x:v>3</x:v>
      </x:c>
      <x:c r="AD87" s="46" t="n">
        <x:v>4</x:v>
      </x:c>
      <x:c r="AE87" s="46" t="n">
        <x:v>4</x:v>
      </x:c>
      <x:c r="AF87" s="46" t="n">
        <x:v>4</x:v>
      </x:c>
      <x:c r="AG87" s="46" t="n">
        <x:v>4</x:v>
      </x:c>
      <x:c r="AH87" s="46" t="n">
        <x:f>AVERAGE(H87:N87)</x:f>
        <x:v>4.428571428571429</x:v>
      </x:c>
      <x:c r="AI87" s="46" t="n">
        <x:f>AVERAGE(O87:T87)</x:f>
        <x:v>4.166666666666667</x:v>
      </x:c>
      <x:c r="AJ87" s="46" t="n">
        <x:f>AVERAGE(U87:Z87)</x:f>
        <x:v>3.6666666666666665</x:v>
      </x:c>
      <x:c r="AK87" s="46" t="n">
        <x:f>AVERAGE(AA87:AG87)</x:f>
        <x:v>3.7142857142857144</x:v>
      </x:c>
    </x:row>
    <x:row r="88">
      <x:c r="A88" s="44" t="str">
        <x:v>Manual-51</x:v>
      </x:c>
      <x:c r="B88" s="44" t="str">
        <x:v>manual</x:v>
      </x:c>
      <x:c r="C88" s="44" t="str">
        <x:v>35–44</x:v>
      </x:c>
      <x:c r="D88" s="44" t="str">
        <x:v>11–20 years</x:v>
      </x:c>
      <x:c r="E88" s="44" t="str">
        <x:v>Officer</x:v>
      </x:c>
      <x:c r="F88" s="45" t="n">
        <x:v>0</x:v>
      </x:c>
      <x:c r="G88" s="45" t="n">
        <x:v>0</x:v>
      </x:c>
      <x:c r="H88" s="46" t="n">
        <x:v>5</x:v>
      </x:c>
      <x:c r="I88" s="46" t="n">
        <x:v>5</x:v>
      </x:c>
      <x:c r="J88" s="46" t="n">
        <x:v>5</x:v>
      </x:c>
      <x:c r="K88" s="46" t="n">
        <x:v>5</x:v>
      </x:c>
      <x:c r="L88" s="46" t="n">
        <x:v>5</x:v>
      </x:c>
      <x:c r="M88" s="46" t="n">
        <x:v>5</x:v>
      </x:c>
      <x:c r="N88" s="46" t="n">
        <x:v>5</x:v>
      </x:c>
      <x:c r="O88" s="46" t="n">
        <x:v>5</x:v>
      </x:c>
      <x:c r="P88" s="46" t="n">
        <x:v>5</x:v>
      </x:c>
      <x:c r="Q88" s="46" t="n">
        <x:v>5</x:v>
      </x:c>
      <x:c r="R88" s="46" t="n">
        <x:v>5</x:v>
      </x:c>
      <x:c r="S88" s="46" t="n">
        <x:v>5</x:v>
      </x:c>
      <x:c r="T88" s="46" t="n">
        <x:v>5</x:v>
      </x:c>
      <x:c r="U88" s="46" t="n">
        <x:v>5</x:v>
      </x:c>
      <x:c r="V88" s="46" t="n">
        <x:v>5</x:v>
      </x:c>
      <x:c r="W88" s="46" t="n">
        <x:v>5</x:v>
      </x:c>
      <x:c r="X88" s="46" t="n">
        <x:v>5</x:v>
      </x:c>
      <x:c r="Y88" s="46" t="n">
        <x:v>5</x:v>
      </x:c>
      <x:c r="Z88" s="46" t="n">
        <x:v>5</x:v>
      </x:c>
      <x:c r="AA88" s="46" t="n">
        <x:v>5</x:v>
      </x:c>
      <x:c r="AB88" s="46" t="n">
        <x:v>5</x:v>
      </x:c>
      <x:c r="AC88" s="46" t="n">
        <x:v>5</x:v>
      </x:c>
      <x:c r="AD88" s="46" t="n">
        <x:v>5</x:v>
      </x:c>
      <x:c r="AE88" s="46" t="n">
        <x:v>5</x:v>
      </x:c>
      <x:c r="AF88" s="46" t="n">
        <x:v>5</x:v>
      </x:c>
      <x:c r="AG88" s="46" t="n">
        <x:v>5</x:v>
      </x:c>
      <x:c r="AH88" s="46" t="n">
        <x:f>AVERAGE(H88:N88)</x:f>
        <x:v>5</x:v>
      </x:c>
      <x:c r="AI88" s="46" t="n">
        <x:f>AVERAGE(O88:T88)</x:f>
        <x:v>5</x:v>
      </x:c>
      <x:c r="AJ88" s="46" t="n">
        <x:f>AVERAGE(U88:Z88)</x:f>
        <x:v>5</x:v>
      </x:c>
      <x:c r="AK88" s="46" t="n">
        <x:f>AVERAGE(AA88:AG88)</x:f>
        <x:v>5</x:v>
      </x:c>
    </x:row>
    <x:row r="89">
      <x:c r="A89" s="44" t="str">
        <x:v>Manual-52</x:v>
      </x:c>
      <x:c r="B89" s="44" t="str">
        <x:v>manual</x:v>
      </x:c>
      <x:c r="C89" s="44" t="str">
        <x:v>45–54</x:v>
      </x:c>
      <x:c r="D89" s="44" t="str">
        <x:v>Above 20 years</x:v>
      </x:c>
      <x:c r="E89" s="44" t="str">
        <x:v>Managerial</x:v>
      </x:c>
      <x:c r="F89" s="45" t="n">
        <x:v>0</x:v>
      </x:c>
      <x:c r="G89" s="45" t="n">
        <x:v>0</x:v>
      </x:c>
      <x:c r="H89" s="46" t="n">
        <x:v>5</x:v>
      </x:c>
      <x:c r="I89" s="46" t="n">
        <x:v>5</x:v>
      </x:c>
      <x:c r="J89" s="46" t="n">
        <x:v>5</x:v>
      </x:c>
      <x:c r="K89" s="46" t="n">
        <x:v>5</x:v>
      </x:c>
      <x:c r="L89" s="46" t="n">
        <x:v>5</x:v>
      </x:c>
      <x:c r="M89" s="46" t="n">
        <x:v>5</x:v>
      </x:c>
      <x:c r="N89" s="46" t="n">
        <x:v>5</x:v>
      </x:c>
      <x:c r="O89" s="46" t="n">
        <x:v>5</x:v>
      </x:c>
      <x:c r="P89" s="46" t="n">
        <x:v>5</x:v>
      </x:c>
      <x:c r="Q89" s="46" t="n">
        <x:v>5</x:v>
      </x:c>
      <x:c r="R89" s="46" t="n">
        <x:v>5</x:v>
      </x:c>
      <x:c r="S89" s="46" t="n">
        <x:v>5</x:v>
      </x:c>
      <x:c r="T89" s="46" t="n">
        <x:v>5</x:v>
      </x:c>
      <x:c r="U89" s="46" t="n">
        <x:v>5</x:v>
      </x:c>
      <x:c r="V89" s="46" t="n">
        <x:v>5</x:v>
      </x:c>
      <x:c r="W89" s="46" t="n">
        <x:v>5</x:v>
      </x:c>
      <x:c r="X89" s="46" t="n">
        <x:v>5</x:v>
      </x:c>
      <x:c r="Y89" s="46" t="n">
        <x:v>5</x:v>
      </x:c>
      <x:c r="Z89" s="46" t="n">
        <x:v>5</x:v>
      </x:c>
      <x:c r="AA89" s="46" t="n">
        <x:v>5</x:v>
      </x:c>
      <x:c r="AB89" s="46" t="n">
        <x:v>5</x:v>
      </x:c>
      <x:c r="AC89" s="46" t="n">
        <x:v>5</x:v>
      </x:c>
      <x:c r="AD89" s="46" t="n">
        <x:v>5</x:v>
      </x:c>
      <x:c r="AE89" s="46" t="n">
        <x:v>5</x:v>
      </x:c>
      <x:c r="AF89" s="46" t="n">
        <x:v>5</x:v>
      </x:c>
      <x:c r="AG89" s="46" t="n">
        <x:v>5</x:v>
      </x:c>
      <x:c r="AH89" s="46" t="n">
        <x:f>AVERAGE(H89:N89)</x:f>
        <x:v>5</x:v>
      </x:c>
      <x:c r="AI89" s="46" t="n">
        <x:f>AVERAGE(O89:T89)</x:f>
        <x:v>5</x:v>
      </x:c>
      <x:c r="AJ89" s="46" t="n">
        <x:f>AVERAGE(U89:Z89)</x:f>
        <x:v>5</x:v>
      </x:c>
      <x:c r="AK89" s="46" t="n">
        <x:f>AVERAGE(AA89:AG89)</x:f>
        <x:v>5</x:v>
      </x:c>
    </x:row>
    <x:row r="90">
      <x:c r="A90" s="44" t="str">
        <x:v>Manual-53</x:v>
      </x:c>
      <x:c r="B90" s="44" t="str">
        <x:v>manual</x:v>
      </x:c>
      <x:c r="C90" s="44" t="str">
        <x:v>35–44</x:v>
      </x:c>
      <x:c r="D90" s="44" t="str">
        <x:v>11–20 years</x:v>
      </x:c>
      <x:c r="E90" s="44" t="str">
        <x:v>Officer</x:v>
      </x:c>
      <x:c r="F90" s="45" t="n">
        <x:v>0</x:v>
      </x:c>
      <x:c r="G90" s="45" t="n">
        <x:v>0</x:v>
      </x:c>
      <x:c r="H90" s="46" t="n">
        <x:v>5</x:v>
      </x:c>
      <x:c r="I90" s="46" t="n">
        <x:v>5</x:v>
      </x:c>
      <x:c r="J90" s="46" t="n">
        <x:v>5</x:v>
      </x:c>
      <x:c r="K90" s="46" t="n">
        <x:v>5</x:v>
      </x:c>
      <x:c r="L90" s="46" t="n">
        <x:v>5</x:v>
      </x:c>
      <x:c r="M90" s="46" t="n">
        <x:v>5</x:v>
      </x:c>
      <x:c r="N90" s="46" t="n">
        <x:v>5</x:v>
      </x:c>
      <x:c r="O90" s="46" t="n">
        <x:v>5</x:v>
      </x:c>
      <x:c r="P90" s="46" t="n">
        <x:v>5</x:v>
      </x:c>
      <x:c r="Q90" s="46" t="n">
        <x:v>5</x:v>
      </x:c>
      <x:c r="R90" s="46" t="n">
        <x:v>5</x:v>
      </x:c>
      <x:c r="S90" s="46" t="n">
        <x:v>5</x:v>
      </x:c>
      <x:c r="T90" s="46" t="n">
        <x:v>5</x:v>
      </x:c>
      <x:c r="U90" s="46" t="n">
        <x:v>5</x:v>
      </x:c>
      <x:c r="V90" s="46" t="n">
        <x:v>5</x:v>
      </x:c>
      <x:c r="W90" s="46" t="n">
        <x:v>5</x:v>
      </x:c>
      <x:c r="X90" s="46" t="n">
        <x:v>5</x:v>
      </x:c>
      <x:c r="Y90" s="46" t="n">
        <x:v>5</x:v>
      </x:c>
      <x:c r="Z90" s="46" t="n">
        <x:v>5</x:v>
      </x:c>
      <x:c r="AA90" s="46" t="n">
        <x:v>5</x:v>
      </x:c>
      <x:c r="AB90" s="46" t="n">
        <x:v>5</x:v>
      </x:c>
      <x:c r="AC90" s="46" t="n">
        <x:v>5</x:v>
      </x:c>
      <x:c r="AD90" s="46" t="n">
        <x:v>5</x:v>
      </x:c>
      <x:c r="AE90" s="46" t="n">
        <x:v>5</x:v>
      </x:c>
      <x:c r="AF90" s="46" t="n">
        <x:v>5</x:v>
      </x:c>
      <x:c r="AG90" s="46" t="n">
        <x:v>5</x:v>
      </x:c>
      <x:c r="AH90" s="46" t="n">
        <x:f>AVERAGE(H90:N90)</x:f>
        <x:v>5</x:v>
      </x:c>
      <x:c r="AI90" s="46" t="n">
        <x:f>AVERAGE(O90:T90)</x:f>
        <x:v>5</x:v>
      </x:c>
      <x:c r="AJ90" s="46" t="n">
        <x:f>AVERAGE(U90:Z90)</x:f>
        <x:v>5</x:v>
      </x:c>
      <x:c r="AK90" s="46" t="n">
        <x:f>AVERAGE(AA90:AG90)</x:f>
        <x:v>5</x:v>
      </x:c>
    </x:row>
    <x:row r="91">
      <x:c r="A91" s="44" t="str">
        <x:v>Manual-54</x:v>
      </x:c>
      <x:c r="B91" s="44" t="str">
        <x:v>manual</x:v>
      </x:c>
      <x:c r="C91" s="44" t="str">
        <x:v>25–34</x:v>
      </x:c>
      <x:c r="D91" s="44" t="str">
        <x:v>5–10 years</x:v>
      </x:c>
      <x:c r="E91" s="44" t="str">
        <x:v>Officer</x:v>
      </x:c>
      <x:c r="F91" s="45" t="n">
        <x:v>0</x:v>
      </x:c>
      <x:c r="G91" s="45" t="n">
        <x:v>0</x:v>
      </x:c>
      <x:c r="H91" s="46" t="n">
        <x:v>5</x:v>
      </x:c>
      <x:c r="I91" s="46" t="n">
        <x:v>5</x:v>
      </x:c>
      <x:c r="J91" s="46" t="n">
        <x:v>4</x:v>
      </x:c>
      <x:c r="K91" s="46" t="n">
        <x:v>5</x:v>
      </x:c>
      <x:c r="L91" s="46" t="n">
        <x:v>5</x:v>
      </x:c>
      <x:c r="M91" s="46" t="n">
        <x:v>5</x:v>
      </x:c>
      <x:c r="N91" s="46" t="n">
        <x:v>4</x:v>
      </x:c>
      <x:c r="O91" s="46" t="n">
        <x:v>4</x:v>
      </x:c>
      <x:c r="P91" s="46" t="n">
        <x:v>4</x:v>
      </x:c>
      <x:c r="Q91" s="46" t="n">
        <x:v>5</x:v>
      </x:c>
      <x:c r="R91" s="46" t="n">
        <x:v>5</x:v>
      </x:c>
      <x:c r="S91" s="46" t="n">
        <x:v>4</x:v>
      </x:c>
      <x:c r="T91" s="46" t="n">
        <x:v>4</x:v>
      </x:c>
      <x:c r="U91" s="46" t="n">
        <x:v>4</x:v>
      </x:c>
      <x:c r="V91" s="46" t="n">
        <x:v>4</x:v>
      </x:c>
      <x:c r="W91" s="46" t="n">
        <x:v>4</x:v>
      </x:c>
      <x:c r="X91" s="46" t="n">
        <x:v>4</x:v>
      </x:c>
      <x:c r="Y91" s="46" t="n">
        <x:v>4</x:v>
      </x:c>
      <x:c r="Z91" s="46" t="n">
        <x:v>4</x:v>
      </x:c>
      <x:c r="AA91" s="46" t="n">
        <x:v>4</x:v>
      </x:c>
      <x:c r="AB91" s="46" t="n">
        <x:v>4</x:v>
      </x:c>
      <x:c r="AC91" s="46" t="n">
        <x:v>4</x:v>
      </x:c>
      <x:c r="AD91" s="46" t="n">
        <x:v>4</x:v>
      </x:c>
      <x:c r="AE91" s="46" t="n">
        <x:v>5</x:v>
      </x:c>
      <x:c r="AF91" s="46" t="n">
        <x:v>5</x:v>
      </x:c>
      <x:c r="AG91" s="46" t="n">
        <x:v>4</x:v>
      </x:c>
      <x:c r="AH91" s="46" t="n">
        <x:f>AVERAGE(H91:N91)</x:f>
        <x:v>4.714285714285714</x:v>
      </x:c>
      <x:c r="AI91" s="46" t="n">
        <x:f>AVERAGE(O91:T91)</x:f>
        <x:v>4.333333333333333</x:v>
      </x:c>
      <x:c r="AJ91" s="46" t="n">
        <x:f>AVERAGE(U91:Z91)</x:f>
        <x:v>4</x:v>
      </x:c>
      <x:c r="AK91" s="46" t="n">
        <x:f>AVERAGE(AA91:AG91)</x:f>
        <x:v>4.285714285714286</x:v>
      </x:c>
    </x:row>
    <x:row r="92">
      <x:c r="A92" s="44" t="str">
        <x:v>Manual-55</x:v>
      </x:c>
      <x:c r="B92" s="44" t="str">
        <x:v>manual</x:v>
      </x:c>
      <x:c r="C92" s="44" t="str">
        <x:v>45–54</x:v>
      </x:c>
      <x:c r="D92" s="44" t="str">
        <x:v>Above 20 years</x:v>
      </x:c>
      <x:c r="E92" s="44" t="str">
        <x:v>Officer</x:v>
      </x:c>
      <x:c r="F92" s="45" t="n">
        <x:v>0</x:v>
      </x:c>
      <x:c r="G92" s="45" t="n">
        <x:v>0</x:v>
      </x:c>
      <x:c r="H92" s="46" t="n">
        <x:v>5</x:v>
      </x:c>
      <x:c r="I92" s="46" t="n">
        <x:v>4</x:v>
      </x:c>
      <x:c r="J92" s="46" t="n">
        <x:v>5</x:v>
      </x:c>
      <x:c r="K92" s="46" t="n">
        <x:v>4</x:v>
      </x:c>
      <x:c r="L92" s="46" t="n">
        <x:v>4</x:v>
      </x:c>
      <x:c r="M92" s="46" t="n">
        <x:v>4</x:v>
      </x:c>
      <x:c r="N92" s="46" t="n">
        <x:v>4</x:v>
      </x:c>
      <x:c r="O92" s="46" t="n">
        <x:v>4</x:v>
      </x:c>
      <x:c r="P92" s="46" t="n">
        <x:v>5</x:v>
      </x:c>
      <x:c r="Q92" s="46" t="n">
        <x:v>4</x:v>
      </x:c>
      <x:c r="R92" s="46" t="n">
        <x:v>4</x:v>
      </x:c>
      <x:c r="S92" s="46" t="n">
        <x:v>5</x:v>
      </x:c>
      <x:c r="T92" s="46" t="n">
        <x:v>4</x:v>
      </x:c>
      <x:c r="U92" s="46" t="n">
        <x:v>5</x:v>
      </x:c>
      <x:c r="V92" s="46" t="n">
        <x:v>4</x:v>
      </x:c>
      <x:c r="W92" s="46" t="n">
        <x:v>4</x:v>
      </x:c>
      <x:c r="X92" s="46" t="n">
        <x:v>5</x:v>
      </x:c>
      <x:c r="Y92" s="46" t="n">
        <x:v>4</x:v>
      </x:c>
      <x:c r="Z92" s="46" t="n">
        <x:v>4</x:v>
      </x:c>
      <x:c r="AA92" s="46" t="n">
        <x:v>4</x:v>
      </x:c>
      <x:c r="AB92" s="46" t="n">
        <x:v>5</x:v>
      </x:c>
      <x:c r="AC92" s="46" t="n">
        <x:v>4</x:v>
      </x:c>
      <x:c r="AD92" s="46" t="n">
        <x:v>5</x:v>
      </x:c>
      <x:c r="AE92" s="46" t="n">
        <x:v>5</x:v>
      </x:c>
      <x:c r="AF92" s="46" t="n">
        <x:v>5</x:v>
      </x:c>
      <x:c r="AG92" s="46" t="n">
        <x:v>5</x:v>
      </x:c>
      <x:c r="AH92" s="46" t="n">
        <x:f>AVERAGE(H92:N92)</x:f>
        <x:v>4.285714285714286</x:v>
      </x:c>
      <x:c r="AI92" s="46" t="n">
        <x:f>AVERAGE(O92:T92)</x:f>
        <x:v>4.333333333333333</x:v>
      </x:c>
      <x:c r="AJ92" s="46" t="n">
        <x:f>AVERAGE(U92:Z92)</x:f>
        <x:v>4.333333333333333</x:v>
      </x:c>
      <x:c r="AK92" s="46" t="n">
        <x:f>AVERAGE(AA92:AG92)</x:f>
        <x:v>4.714285714285714</x:v>
      </x:c>
    </x:row>
    <x:row r="93">
      <x:c r="A93" s="44" t="str">
        <x:v>Manual-56</x:v>
      </x:c>
      <x:c r="B93" s="44" t="str">
        <x:v>manual</x:v>
      </x:c>
      <x:c r="C93" s="44" t="str">
        <x:v>25–34</x:v>
      </x:c>
      <x:c r="D93" s="44" t="str">
        <x:v>Below 5 years</x:v>
      </x:c>
      <x:c r="E93" s="44" t="str">
        <x:v>Officer</x:v>
      </x:c>
      <x:c r="F93" s="45" t="n">
        <x:v>0</x:v>
      </x:c>
      <x:c r="G93" s="45" t="n">
        <x:v>0</x:v>
      </x:c>
      <x:c r="H93" s="46" t="n">
        <x:v>3</x:v>
      </x:c>
      <x:c r="I93" s="46" t="n">
        <x:v>4</x:v>
      </x:c>
      <x:c r="J93" s="46" t="n">
        <x:v>2</x:v>
      </x:c>
      <x:c r="K93" s="46" t="n">
        <x:v>3</x:v>
      </x:c>
      <x:c r="L93" s="46" t="n">
        <x:v>2</x:v>
      </x:c>
      <x:c r="M93" s="46" t="n">
        <x:v>3</x:v>
      </x:c>
      <x:c r="N93" s="46" t="n">
        <x:v>3</x:v>
      </x:c>
      <x:c r="O93" s="46" t="n">
        <x:v>4</x:v>
      </x:c>
      <x:c r="P93" s="46" t="n">
        <x:v>4</x:v>
      </x:c>
      <x:c r="Q93" s="46" t="n">
        <x:v>3</x:v>
      </x:c>
      <x:c r="R93" s="46" t="n">
        <x:v>4</x:v>
      </x:c>
      <x:c r="S93" s="46" t="n">
        <x:v>4</x:v>
      </x:c>
      <x:c r="T93" s="46" t="n">
        <x:v>2</x:v>
      </x:c>
      <x:c r="U93" s="46" t="n">
        <x:v>4</x:v>
      </x:c>
      <x:c r="V93" s="46" t="n">
        <x:v>4</x:v>
      </x:c>
      <x:c r="W93" s="46" t="n">
        <x:v>4</x:v>
      </x:c>
      <x:c r="X93" s="46" t="n">
        <x:v>4</x:v>
      </x:c>
      <x:c r="Y93" s="46" t="n">
        <x:v>4</x:v>
      </x:c>
      <x:c r="Z93" s="46" t="n">
        <x:v>4</x:v>
      </x:c>
      <x:c r="AA93" s="46" t="n">
        <x:v>4</x:v>
      </x:c>
      <x:c r="AB93" s="46" t="n">
        <x:v>2</x:v>
      </x:c>
      <x:c r="AC93" s="46" t="n">
        <x:v>3</x:v>
      </x:c>
      <x:c r="AD93" s="46" t="n">
        <x:v>4</x:v>
      </x:c>
      <x:c r="AE93" s="46" t="n">
        <x:v>2</x:v>
      </x:c>
      <x:c r="AF93" s="46" t="n">
        <x:v>2</x:v>
      </x:c>
      <x:c r="AG93" s="46" t="n">
        <x:v>2</x:v>
      </x:c>
      <x:c r="AH93" s="46" t="n">
        <x:f>AVERAGE(H93:N93)</x:f>
        <x:v>2.857142857142857</x:v>
      </x:c>
      <x:c r="AI93" s="46" t="n">
        <x:f>AVERAGE(O93:T93)</x:f>
        <x:v>3.5</x:v>
      </x:c>
      <x:c r="AJ93" s="46" t="n">
        <x:f>AVERAGE(U93:Z93)</x:f>
        <x:v>4</x:v>
      </x:c>
      <x:c r="AK93" s="46" t="n">
        <x:f>AVERAGE(AA93:AG93)</x:f>
        <x:v>2.7142857142857144</x:v>
      </x:c>
    </x:row>
    <x:row r="94">
      <x:c r="A94" s="44" t="str">
        <x:v>Manual-57</x:v>
      </x:c>
      <x:c r="B94" s="44" t="str">
        <x:v>manual</x:v>
      </x:c>
      <x:c r="C94" s="44" t="str">
        <x:v>25–34</x:v>
      </x:c>
      <x:c r="D94" s="44" t="str">
        <x:v>5–10 years</x:v>
      </x:c>
      <x:c r="E94" s="44" t="str">
        <x:v>Officer</x:v>
      </x:c>
      <x:c r="F94" s="45" t="n">
        <x:v>0</x:v>
      </x:c>
      <x:c r="G94" s="45" t="n">
        <x:v>0</x:v>
      </x:c>
      <x:c r="H94" s="46" t="n">
        <x:v>4</x:v>
      </x:c>
      <x:c r="I94" s="46" t="n">
        <x:v>4</x:v>
      </x:c>
      <x:c r="J94" s="46" t="n">
        <x:v>4</x:v>
      </x:c>
      <x:c r="K94" s="46" t="n">
        <x:v>5</x:v>
      </x:c>
      <x:c r="L94" s="46" t="n">
        <x:v>5</x:v>
      </x:c>
      <x:c r="M94" s="46" t="n">
        <x:v>5</x:v>
      </x:c>
      <x:c r="N94" s="46" t="n">
        <x:v>5</x:v>
      </x:c>
      <x:c r="O94" s="46" t="n">
        <x:v>5</x:v>
      </x:c>
      <x:c r="P94" s="46" t="n">
        <x:v>5</x:v>
      </x:c>
      <x:c r="Q94" s="46" t="n">
        <x:v>4</x:v>
      </x:c>
      <x:c r="R94" s="46" t="n">
        <x:v>5</x:v>
      </x:c>
      <x:c r="S94" s="46" t="n">
        <x:v>4</x:v>
      </x:c>
      <x:c r="T94" s="46" t="n">
        <x:v>4</x:v>
      </x:c>
      <x:c r="U94" s="46" t="n">
        <x:v>5</x:v>
      </x:c>
      <x:c r="V94" s="46" t="n">
        <x:v>5</x:v>
      </x:c>
      <x:c r="W94" s="46" t="n">
        <x:v>4</x:v>
      </x:c>
      <x:c r="X94" s="46" t="n">
        <x:v>5</x:v>
      </x:c>
      <x:c r="Y94" s="46" t="n">
        <x:v>4</x:v>
      </x:c>
      <x:c r="Z94" s="46" t="n">
        <x:v>4</x:v>
      </x:c>
      <x:c r="AA94" s="46" t="n">
        <x:v>5</x:v>
      </x:c>
      <x:c r="AB94" s="46" t="n">
        <x:v>4</x:v>
      </x:c>
      <x:c r="AC94" s="46" t="n">
        <x:v>4</x:v>
      </x:c>
      <x:c r="AD94" s="46" t="n">
        <x:v>4</x:v>
      </x:c>
      <x:c r="AE94" s="46" t="n">
        <x:v>4</x:v>
      </x:c>
      <x:c r="AF94" s="46" t="n">
        <x:v>4</x:v>
      </x:c>
      <x:c r="AG94" s="46" t="n">
        <x:v>4</x:v>
      </x:c>
      <x:c r="AH94" s="46" t="n">
        <x:f>AVERAGE(H94:N94)</x:f>
        <x:v>4.571428571428571</x:v>
      </x:c>
      <x:c r="AI94" s="46" t="n">
        <x:f>AVERAGE(O94:T94)</x:f>
        <x:v>4.5</x:v>
      </x:c>
      <x:c r="AJ94" s="46" t="n">
        <x:f>AVERAGE(U94:Z94)</x:f>
        <x:v>4.5</x:v>
      </x:c>
      <x:c r="AK94" s="46" t="n">
        <x:f>AVERAGE(AA94:AG94)</x:f>
        <x:v>4.142857142857143</x:v>
      </x:c>
    </x:row>
    <x:row r="95">
      <x:c r="A95" s="44" t="str">
        <x:v>Manual-58</x:v>
      </x:c>
      <x:c r="B95" s="44" t="str">
        <x:v>manual</x:v>
      </x:c>
      <x:c r="C95" s="44" t="str">
        <x:v>35–44</x:v>
      </x:c>
      <x:c r="D95" s="44" t="str">
        <x:v>11–20 years</x:v>
      </x:c>
      <x:c r="E95" s="44" t="str">
        <x:v>Officer</x:v>
      </x:c>
      <x:c r="F95" s="45" t="n">
        <x:v>0</x:v>
      </x:c>
      <x:c r="G95" s="45" t="n">
        <x:v>0</x:v>
      </x:c>
      <x:c r="H95" s="46" t="n">
        <x:v>2</x:v>
      </x:c>
      <x:c r="I95" s="46" t="n">
        <x:v>2</x:v>
      </x:c>
      <x:c r="J95" s="46" t="n">
        <x:v>1</x:v>
      </x:c>
      <x:c r="K95" s="46" t="n">
        <x:v>2</x:v>
      </x:c>
      <x:c r="L95" s="46" t="n">
        <x:v>1</x:v>
      </x:c>
      <x:c r="M95" s="46" t="n">
        <x:v>1</x:v>
      </x:c>
      <x:c r="N95" s="46" t="n">
        <x:v>1</x:v>
      </x:c>
      <x:c r="O95" s="46" t="n">
        <x:v>2</x:v>
      </x:c>
      <x:c r="P95" s="46" t="n">
        <x:v>1</x:v>
      </x:c>
      <x:c r="Q95" s="46" t="n">
        <x:v>2</x:v>
      </x:c>
      <x:c r="R95" s="46" t="n">
        <x:v>2</x:v>
      </x:c>
      <x:c r="S95" s="46" t="n">
        <x:v>2</x:v>
      </x:c>
      <x:c r="T95" s="46" t="n">
        <x:v>1</x:v>
      </x:c>
      <x:c r="U95" s="46" t="n">
        <x:v>2</x:v>
      </x:c>
      <x:c r="V95" s="46" t="n">
        <x:v>5</x:v>
      </x:c>
      <x:c r="W95" s="46" t="n">
        <x:v>5</x:v>
      </x:c>
      <x:c r="X95" s="46" t="n">
        <x:v>5</x:v>
      </x:c>
      <x:c r="Y95" s="46" t="n">
        <x:v>4</x:v>
      </x:c>
      <x:c r="Z95" s="46" t="n">
        <x:v>5</x:v>
      </x:c>
      <x:c r="AA95" s="46" t="n">
        <x:v>4</x:v>
      </x:c>
      <x:c r="AB95" s="46" t="n">
        <x:v>4</x:v>
      </x:c>
      <x:c r="AC95" s="46" t="n">
        <x:v>4</x:v>
      </x:c>
      <x:c r="AD95" s="46" t="n">
        <x:v>5</x:v>
      </x:c>
      <x:c r="AE95" s="46" t="n">
        <x:v>5</x:v>
      </x:c>
      <x:c r="AF95" s="46" t="n">
        <x:v>4</x:v>
      </x:c>
      <x:c r="AG95" s="46" t="n">
        <x:v>5</x:v>
      </x:c>
      <x:c r="AH95" s="46" t="n">
        <x:f>AVERAGE(H95:N95)</x:f>
        <x:v>1.4285714285714286</x:v>
      </x:c>
      <x:c r="AI95" s="46" t="n">
        <x:f>AVERAGE(O95:T95)</x:f>
        <x:v>1.6666666666666667</x:v>
      </x:c>
      <x:c r="AJ95" s="46" t="n">
        <x:f>AVERAGE(U95:Z95)</x:f>
        <x:v>4.333333333333333</x:v>
      </x:c>
      <x:c r="AK95" s="46" t="n">
        <x:f>AVERAGE(AA95:AG95)</x:f>
        <x:v>4.428571428571429</x:v>
      </x:c>
    </x:row>
    <x:row r="96">
      <x:c r="A96" s="44" t="str">
        <x:v>Manual-60</x:v>
      </x:c>
      <x:c r="B96" s="44" t="str">
        <x:v>manual</x:v>
      </x:c>
      <x:c r="C96" s="44" t="str">
        <x:v>35–44</x:v>
      </x:c>
      <x:c r="D96" s="44" t="str">
        <x:v>11–20 years</x:v>
      </x:c>
      <x:c r="E96" s="44" t="str">
        <x:v>Officer</x:v>
      </x:c>
      <x:c r="F96" s="45" t="n">
        <x:v>0</x:v>
      </x:c>
      <x:c r="G96" s="45" t="n">
        <x:v>0</x:v>
      </x:c>
      <x:c r="H96" s="46" t="n">
        <x:v>4</x:v>
      </x:c>
      <x:c r="I96" s="46" t="n">
        <x:v>3</x:v>
      </x:c>
      <x:c r="J96" s="46" t="n">
        <x:v>4</x:v>
      </x:c>
      <x:c r="K96" s="46" t="n">
        <x:v>3</x:v>
      </x:c>
      <x:c r="L96" s="46" t="n">
        <x:v>4</x:v>
      </x:c>
      <x:c r="M96" s="46" t="n">
        <x:v>3</x:v>
      </x:c>
      <x:c r="N96" s="46" t="n">
        <x:v>4</x:v>
      </x:c>
      <x:c r="O96" s="46" t="n">
        <x:v>4</x:v>
      </x:c>
      <x:c r="P96" s="46" t="n">
        <x:v>4</x:v>
      </x:c>
      <x:c r="Q96" s="46" t="n">
        <x:v>4</x:v>
      </x:c>
      <x:c r="R96" s="46" t="n">
        <x:v>4</x:v>
      </x:c>
      <x:c r="S96" s="46" t="n">
        <x:v>4</x:v>
      </x:c>
      <x:c r="T96" s="46" t="n">
        <x:v>4</x:v>
      </x:c>
      <x:c r="U96" s="46" t="n">
        <x:v>5</x:v>
      </x:c>
      <x:c r="V96" s="46" t="n">
        <x:v>4</x:v>
      </x:c>
      <x:c r="W96" s="46" t="n">
        <x:v>4</x:v>
      </x:c>
      <x:c r="X96" s="46" t="n">
        <x:v>4</x:v>
      </x:c>
      <x:c r="Y96" s="46" t="n">
        <x:v>4</x:v>
      </x:c>
      <x:c r="Z96" s="46" t="n">
        <x:v>4</x:v>
      </x:c>
      <x:c r="AA96" s="46" t="n">
        <x:v>4</x:v>
      </x:c>
      <x:c r="AB96" s="46" t="n">
        <x:v>4</x:v>
      </x:c>
      <x:c r="AC96" s="46" t="n">
        <x:v>4</x:v>
      </x:c>
      <x:c r="AD96" s="46" t="n">
        <x:v>5</x:v>
      </x:c>
      <x:c r="AE96" s="46" t="n">
        <x:v>4</x:v>
      </x:c>
      <x:c r="AF96" s="46" t="n">
        <x:v>4</x:v>
      </x:c>
      <x:c r="AG96" s="46" t="n">
        <x:v>4</x:v>
      </x:c>
      <x:c r="AH96" s="46" t="n">
        <x:f>AVERAGE(H96:N96)</x:f>
        <x:v>3.5714285714285716</x:v>
      </x:c>
      <x:c r="AI96" s="46" t="n">
        <x:f>AVERAGE(O96:T96)</x:f>
        <x:v>4</x:v>
      </x:c>
      <x:c r="AJ96" s="46" t="n">
        <x:f>AVERAGE(U96:Z96)</x:f>
        <x:v>4.166666666666667</x:v>
      </x:c>
      <x:c r="AK96" s="46" t="n">
        <x:f>AVERAGE(AA96:AG96)</x:f>
        <x:v>4.142857142857143</x:v>
      </x:c>
    </x:row>
    <x:row r="97">
      <x:c r="A97" s="44" t="str">
        <x:v>Manual-62</x:v>
      </x:c>
      <x:c r="B97" s="44" t="str">
        <x:v>manual</x:v>
      </x:c>
      <x:c r="C97" s="44" t="str">
        <x:v>35–44</x:v>
      </x:c>
      <x:c r="D97" s="44" t="str">
        <x:v>11–20 years</x:v>
      </x:c>
      <x:c r="E97" s="44" t="str">
        <x:v>Officer</x:v>
      </x:c>
      <x:c r="F97" s="45" t="n">
        <x:v>0</x:v>
      </x:c>
      <x:c r="G97" s="45" t="n">
        <x:v>0</x:v>
      </x:c>
      <x:c r="H97" s="46" t="n">
        <x:v>4</x:v>
      </x:c>
      <x:c r="I97" s="46" t="n">
        <x:v>3</x:v>
      </x:c>
      <x:c r="J97" s="46" t="n">
        <x:v>5</x:v>
      </x:c>
      <x:c r="K97" s="46" t="n">
        <x:v>4</x:v>
      </x:c>
      <x:c r="L97" s="46" t="n">
        <x:v>3</x:v>
      </x:c>
      <x:c r="M97" s="46" t="n">
        <x:v>4</x:v>
      </x:c>
      <x:c r="N97" s="46" t="n">
        <x:v>4</x:v>
      </x:c>
      <x:c r="O97" s="46" t="n">
        <x:v>4</x:v>
      </x:c>
      <x:c r="P97" s="46" t="n">
        <x:v>4</x:v>
      </x:c>
      <x:c r="Q97" s="46" t="n">
        <x:v>3</x:v>
      </x:c>
      <x:c r="R97" s="46" t="n">
        <x:v>4</x:v>
      </x:c>
      <x:c r="S97" s="46" t="n">
        <x:v>4</x:v>
      </x:c>
      <x:c r="T97" s="46" t="n">
        <x:v>4</x:v>
      </x:c>
      <x:c r="U97" s="46" t="n">
        <x:v>4</x:v>
      </x:c>
      <x:c r="V97" s="46" t="n">
        <x:v>4</x:v>
      </x:c>
      <x:c r="W97" s="46" t="n">
        <x:v>4</x:v>
      </x:c>
      <x:c r="X97" s="46" t="n">
        <x:v>4</x:v>
      </x:c>
      <x:c r="Y97" s="46" t="n">
        <x:v>3</x:v>
      </x:c>
      <x:c r="Z97" s="46" t="n">
        <x:v>4</x:v>
      </x:c>
      <x:c r="AA97" s="46" t="n">
        <x:v>4</x:v>
      </x:c>
      <x:c r="AB97" s="46" t="n">
        <x:v>4</x:v>
      </x:c>
      <x:c r="AC97" s="46" t="n">
        <x:v>4</x:v>
      </x:c>
      <x:c r="AD97" s="46" t="n">
        <x:v>4</x:v>
      </x:c>
      <x:c r="AE97" s="46" t="n">
        <x:v>4</x:v>
      </x:c>
      <x:c r="AF97" s="46" t="n">
        <x:v>4</x:v>
      </x:c>
      <x:c r="AG97" s="46" t="n">
        <x:v>4</x:v>
      </x:c>
      <x:c r="AH97" s="46" t="n">
        <x:f>AVERAGE(H97:N97)</x:f>
        <x:v>3.857142857142857</x:v>
      </x:c>
      <x:c r="AI97" s="46" t="n">
        <x:f>AVERAGE(O97:T97)</x:f>
        <x:v>3.8333333333333335</x:v>
      </x:c>
      <x:c r="AJ97" s="46" t="n">
        <x:f>AVERAGE(U97:Z97)</x:f>
        <x:v>3.8333333333333335</x:v>
      </x:c>
      <x:c r="AK97" s="46" t="n">
        <x:f>AVERAGE(AA97:AG97)</x:f>
        <x:v>4</x:v>
      </x:c>
    </x:row>
    <x:row r="98">
      <x:c r="A98" s="44" t="str">
        <x:v>Manual-63</x:v>
      </x:c>
      <x:c r="B98" s="44" t="str">
        <x:v>manual</x:v>
      </x:c>
      <x:c r="C98" s="44" t="str">
        <x:v>25–34</x:v>
      </x:c>
      <x:c r="D98" s="44" t="str">
        <x:v>Below 5 years</x:v>
      </x:c>
      <x:c r="E98" s="44" t="str">
        <x:v>Clerical</x:v>
      </x:c>
      <x:c r="F98" s="45" t="n">
        <x:v>0</x:v>
      </x:c>
      <x:c r="G98" s="45" t="n">
        <x:v>0</x:v>
      </x:c>
      <x:c r="H98" s="46" t="n">
        <x:v>4</x:v>
      </x:c>
      <x:c r="I98" s="46" t="n">
        <x:v>2</x:v>
      </x:c>
      <x:c r="J98" s="46" t="n">
        <x:v>4</x:v>
      </x:c>
      <x:c r="K98" s="46" t="n">
        <x:v>4</x:v>
      </x:c>
      <x:c r="L98" s="46" t="n">
        <x:v>1</x:v>
      </x:c>
      <x:c r="M98" s="46" t="n">
        <x:v>4</x:v>
      </x:c>
      <x:c r="N98" s="46" t="n">
        <x:v>4</x:v>
      </x:c>
      <x:c r="O98" s="46" t="n">
        <x:v>4</x:v>
      </x:c>
      <x:c r="P98" s="46" t="n">
        <x:v>5</x:v>
      </x:c>
      <x:c r="Q98" s="46" t="n">
        <x:v>4</x:v>
      </x:c>
      <x:c r="R98" s="46" t="n">
        <x:v>4</x:v>
      </x:c>
      <x:c r="S98" s="46" t="n">
        <x:v>5</x:v>
      </x:c>
      <x:c r="T98" s="46" t="n">
        <x:v>5</x:v>
      </x:c>
      <x:c r="U98" s="46" t="n">
        <x:v>5</x:v>
      </x:c>
      <x:c r="V98" s="46" t="n">
        <x:v>5</x:v>
      </x:c>
      <x:c r="W98" s="46" t="n">
        <x:v>5</x:v>
      </x:c>
      <x:c r="X98" s="46" t="n">
        <x:v>5</x:v>
      </x:c>
      <x:c r="Y98" s="46" t="n">
        <x:v>5</x:v>
      </x:c>
      <x:c r="Z98" s="46" t="n">
        <x:v>5</x:v>
      </x:c>
      <x:c r="AA98" s="46" t="n">
        <x:v>4</x:v>
      </x:c>
      <x:c r="AB98" s="46" t="n">
        <x:v>5</x:v>
      </x:c>
      <x:c r="AC98" s="46" t="n">
        <x:v>5</x:v>
      </x:c>
      <x:c r="AD98" s="46" t="n">
        <x:v>5</x:v>
      </x:c>
      <x:c r="AE98" s="46" t="n">
        <x:v>5</x:v>
      </x:c>
      <x:c r="AF98" s="46" t="n">
        <x:v>5</x:v>
      </x:c>
      <x:c r="AG98" s="46" t="n">
        <x:v>5</x:v>
      </x:c>
      <x:c r="AH98" s="46" t="n">
        <x:f>AVERAGE(H98:N98)</x:f>
        <x:v>3.2857142857142856</x:v>
      </x:c>
      <x:c r="AI98" s="46" t="n">
        <x:f>AVERAGE(O98:T98)</x:f>
        <x:v>4.5</x:v>
      </x:c>
      <x:c r="AJ98" s="46" t="n">
        <x:f>AVERAGE(U98:Z98)</x:f>
        <x:v>5</x:v>
      </x:c>
      <x:c r="AK98" s="46" t="n">
        <x:f>AVERAGE(AA98:AG98)</x:f>
        <x:v>4.857142857142857</x:v>
      </x:c>
    </x:row>
    <x:row r="99">
      <x:c r="A99" s="44" t="str">
        <x:v>Manual-64</x:v>
      </x:c>
      <x:c r="B99" s="44" t="str">
        <x:v>manual</x:v>
      </x:c>
      <x:c r="C99" s="44" t="str">
        <x:v>35–44</x:v>
      </x:c>
      <x:c r="D99" s="44" t="str">
        <x:v>5–10 years</x:v>
      </x:c>
      <x:c r="E99" s="44" t="str">
        <x:v>Officer</x:v>
      </x:c>
      <x:c r="F99" s="45" t="n">
        <x:v>0</x:v>
      </x:c>
      <x:c r="G99" s="45" t="n">
        <x:v>0</x:v>
      </x:c>
      <x:c r="H99" s="46" t="n">
        <x:v>4</x:v>
      </x:c>
      <x:c r="I99" s="46" t="n">
        <x:v>5</x:v>
      </x:c>
      <x:c r="J99" s="46" t="n">
        <x:v>4</x:v>
      </x:c>
      <x:c r="K99" s="46" t="n">
        <x:v>5</x:v>
      </x:c>
      <x:c r="L99" s="46" t="n">
        <x:v>4</x:v>
      </x:c>
      <x:c r="M99" s="46" t="n">
        <x:v>4</x:v>
      </x:c>
      <x:c r="N99" s="46" t="n">
        <x:v>4</x:v>
      </x:c>
      <x:c r="O99" s="46" t="n">
        <x:v>5</x:v>
      </x:c>
      <x:c r="P99" s="46" t="n">
        <x:v>4</x:v>
      </x:c>
      <x:c r="Q99" s="46" t="n">
        <x:v>4</x:v>
      </x:c>
      <x:c r="R99" s="46" t="n">
        <x:v>5</x:v>
      </x:c>
      <x:c r="S99" s="46" t="n">
        <x:v>4</x:v>
      </x:c>
      <x:c r="T99" s="46" t="n">
        <x:v>5</x:v>
      </x:c>
      <x:c r="U99" s="46" t="n">
        <x:v>4</x:v>
      </x:c>
      <x:c r="V99" s="46" t="n">
        <x:v>5</x:v>
      </x:c>
      <x:c r="W99" s="46" t="n">
        <x:v>4</x:v>
      </x:c>
      <x:c r="X99" s="46" t="n">
        <x:v>4</x:v>
      </x:c>
      <x:c r="Y99" s="46" t="n">
        <x:v>5</x:v>
      </x:c>
      <x:c r="Z99" s="46" t="n">
        <x:v>4</x:v>
      </x:c>
      <x:c r="AA99" s="46" t="n">
        <x:v>4</x:v>
      </x:c>
      <x:c r="AB99" s="46" t="n">
        <x:v>4</x:v>
      </x:c>
      <x:c r="AC99" s="46" t="n">
        <x:v>4</x:v>
      </x:c>
      <x:c r="AD99" s="46" t="n">
        <x:v>5</x:v>
      </x:c>
      <x:c r="AE99" s="46" t="n">
        <x:v>5</x:v>
      </x:c>
      <x:c r="AF99" s="46" t="n">
        <x:v>5</x:v>
      </x:c>
      <x:c r="AG99" s="46" t="n">
        <x:v>4</x:v>
      </x:c>
      <x:c r="AH99" s="46" t="n">
        <x:f>AVERAGE(H99:N99)</x:f>
        <x:v>4.285714285714286</x:v>
      </x:c>
      <x:c r="AI99" s="46" t="n">
        <x:f>AVERAGE(O99:T99)</x:f>
        <x:v>4.5</x:v>
      </x:c>
      <x:c r="AJ99" s="46" t="n">
        <x:f>AVERAGE(U99:Z99)</x:f>
        <x:v>4.333333333333333</x:v>
      </x:c>
      <x:c r="AK99" s="46" t="n">
        <x:f>AVERAGE(AA99:AG99)</x:f>
        <x:v>4.428571428571429</x:v>
      </x:c>
    </x:row>
    <x:row r="100">
      <x:c r="A100" s="44" t="str">
        <x:v>Manual-65</x:v>
      </x:c>
      <x:c r="B100" s="44" t="str">
        <x:v>manual</x:v>
      </x:c>
      <x:c r="C100" s="44" t="str">
        <x:v>35–44</x:v>
      </x:c>
      <x:c r="D100" s="44" t="str">
        <x:v>11–20 years</x:v>
      </x:c>
      <x:c r="E100" s="44" t="str">
        <x:v>Clerical</x:v>
      </x:c>
      <x:c r="F100" s="45" t="n">
        <x:v>0</x:v>
      </x:c>
      <x:c r="G100" s="45" t="n">
        <x:v>0</x:v>
      </x:c>
      <x:c r="H100" s="46" t="n">
        <x:v>5</x:v>
      </x:c>
      <x:c r="I100" s="46" t="n">
        <x:v>4</x:v>
      </x:c>
      <x:c r="J100" s="46" t="n">
        <x:v>4</x:v>
      </x:c>
      <x:c r="K100" s="46" t="n">
        <x:v>4</x:v>
      </x:c>
      <x:c r="L100" s="46" t="n">
        <x:v>5</x:v>
      </x:c>
      <x:c r="M100" s="46" t="n">
        <x:v>5</x:v>
      </x:c>
      <x:c r="N100" s="46" t="n">
        <x:v>5</x:v>
      </x:c>
      <x:c r="O100" s="46" t="n">
        <x:v>4</x:v>
      </x:c>
      <x:c r="P100" s="46" t="n">
        <x:v>4</x:v>
      </x:c>
      <x:c r="Q100" s="46" t="n">
        <x:v>5</x:v>
      </x:c>
      <x:c r="R100" s="46" t="n">
        <x:v>5</x:v>
      </x:c>
      <x:c r="S100" s="46" t="n">
        <x:v>5</x:v>
      </x:c>
      <x:c r="T100" s="46" t="n">
        <x:v>5</x:v>
      </x:c>
      <x:c r="U100" s="46" t="n">
        <x:v>4</x:v>
      </x:c>
      <x:c r="V100" s="46" t="n">
        <x:v>4</x:v>
      </x:c>
      <x:c r="W100" s="46" t="n">
        <x:v>4</x:v>
      </x:c>
      <x:c r="X100" s="46" t="n">
        <x:v>5</x:v>
      </x:c>
      <x:c r="Y100" s="46" t="n">
        <x:v>4</x:v>
      </x:c>
      <x:c r="Z100" s="46" t="n">
        <x:v>5</x:v>
      </x:c>
      <x:c r="AA100" s="46" t="n">
        <x:v>5</x:v>
      </x:c>
      <x:c r="AB100" s="46" t="n">
        <x:v>5</x:v>
      </x:c>
      <x:c r="AC100" s="46" t="n">
        <x:v>5</x:v>
      </x:c>
      <x:c r="AD100" s="46" t="n">
        <x:v>5</x:v>
      </x:c>
      <x:c r="AE100" s="46" t="n">
        <x:v>4</x:v>
      </x:c>
      <x:c r="AF100" s="46" t="n">
        <x:v>4</x:v>
      </x:c>
      <x:c r="AG100" s="46" t="n">
        <x:v>5</x:v>
      </x:c>
      <x:c r="AH100" s="46" t="n">
        <x:f>AVERAGE(H100:N100)</x:f>
        <x:v>4.571428571428571</x:v>
      </x:c>
      <x:c r="AI100" s="46" t="n">
        <x:f>AVERAGE(O100:T100)</x:f>
        <x:v>4.666666666666667</x:v>
      </x:c>
      <x:c r="AJ100" s="46" t="n">
        <x:f>AVERAGE(U100:Z100)</x:f>
        <x:v>4.333333333333333</x:v>
      </x:c>
      <x:c r="AK100" s="46" t="n">
        <x:f>AVERAGE(AA100:AG100)</x:f>
        <x:v>4.714285714285714</x:v>
      </x:c>
    </x:row>
    <x:row r="101">
      <x:c r="A101" s="44" t="str">
        <x:v>Manual-66</x:v>
      </x:c>
      <x:c r="B101" s="44" t="str">
        <x:v>manual</x:v>
      </x:c>
      <x:c r="C101" s="44" t="str">
        <x:v>35–44</x:v>
      </x:c>
      <x:c r="D101" s="44" t="str">
        <x:v>11–20 years</x:v>
      </x:c>
      <x:c r="E101" s="44" t="str">
        <x:v>Clerical</x:v>
      </x:c>
      <x:c r="F101" s="45" t="n">
        <x:v>0</x:v>
      </x:c>
      <x:c r="G101" s="45" t="n">
        <x:v>0</x:v>
      </x:c>
      <x:c r="H101" s="46" t="n">
        <x:v>5</x:v>
      </x:c>
      <x:c r="I101" s="46" t="n">
        <x:v>5</x:v>
      </x:c>
      <x:c r="J101" s="46" t="n">
        <x:v>4</x:v>
      </x:c>
      <x:c r="K101" s="46" t="n">
        <x:v>4</x:v>
      </x:c>
      <x:c r="L101" s="46" t="n">
        <x:v>4</x:v>
      </x:c>
      <x:c r="M101" s="46" t="n">
        <x:v>5</x:v>
      </x:c>
      <x:c r="N101" s="46" t="n">
        <x:v>4</x:v>
      </x:c>
      <x:c r="O101" s="46" t="n">
        <x:v>4</x:v>
      </x:c>
      <x:c r="P101" s="46" t="n">
        <x:v>4</x:v>
      </x:c>
      <x:c r="Q101" s="46" t="n">
        <x:v>4</x:v>
      </x:c>
      <x:c r="R101" s="46" t="n">
        <x:v>5</x:v>
      </x:c>
      <x:c r="S101" s="46" t="n">
        <x:v>5</x:v>
      </x:c>
      <x:c r="T101" s="46" t="n">
        <x:v>4</x:v>
      </x:c>
      <x:c r="U101" s="46" t="n">
        <x:v>5</x:v>
      </x:c>
      <x:c r="V101" s="46" t="n">
        <x:v>5</x:v>
      </x:c>
      <x:c r="W101" s="46" t="n">
        <x:v>5</x:v>
      </x:c>
      <x:c r="X101" s="46" t="n">
        <x:v>5</x:v>
      </x:c>
      <x:c r="Y101" s="46" t="n">
        <x:v>4</x:v>
      </x:c>
      <x:c r="Z101" s="46" t="n">
        <x:v>4</x:v>
      </x:c>
      <x:c r="AA101" s="46" t="n">
        <x:v>4</x:v>
      </x:c>
      <x:c r="AB101" s="46" t="n">
        <x:v>4</x:v>
      </x:c>
      <x:c r="AC101" s="46" t="n">
        <x:v>4</x:v>
      </x:c>
      <x:c r="AD101" s="46" t="n">
        <x:v>5</x:v>
      </x:c>
      <x:c r="AE101" s="46" t="n">
        <x:v>5</x:v>
      </x:c>
      <x:c r="AF101" s="46" t="n">
        <x:v>5</x:v>
      </x:c>
      <x:c r="AG101" s="46" t="n">
        <x:v>5</x:v>
      </x:c>
      <x:c r="AH101" s="46" t="n">
        <x:f>AVERAGE(H101:N101)</x:f>
        <x:v>4.428571428571429</x:v>
      </x:c>
      <x:c r="AI101" s="46" t="n">
        <x:f>AVERAGE(O101:T101)</x:f>
        <x:v>4.333333333333333</x:v>
      </x:c>
      <x:c r="AJ101" s="46" t="n">
        <x:f>AVERAGE(U101:Z101)</x:f>
        <x:v>4.666666666666667</x:v>
      </x:c>
      <x:c r="AK101" s="46" t="n">
        <x:f>AVERAGE(AA101:AG101)</x:f>
        <x:v>4.571428571428571</x:v>
      </x:c>
    </x:row>
    <x:row r="102">
      <x:c r="A102" s="44" t="str">
        <x:v>Manual-67</x:v>
      </x:c>
      <x:c r="B102" s="44" t="str">
        <x:v>manual</x:v>
      </x:c>
      <x:c r="C102" s="44" t="str">
        <x:v>35–44</x:v>
      </x:c>
      <x:c r="D102" s="44" t="str">
        <x:v>11–20 years</x:v>
      </x:c>
      <x:c r="E102" s="44" t="str">
        <x:v>Officer</x:v>
      </x:c>
      <x:c r="F102" s="45" t="n">
        <x:v>0</x:v>
      </x:c>
      <x:c r="G102" s="45" t="n">
        <x:v>0</x:v>
      </x:c>
      <x:c r="H102" s="46" t="n">
        <x:v>5</x:v>
      </x:c>
      <x:c r="I102" s="46" t="n">
        <x:v>4</x:v>
      </x:c>
      <x:c r="J102" s="46" t="n">
        <x:v>5</x:v>
      </x:c>
      <x:c r="K102" s="46" t="n">
        <x:v>4</x:v>
      </x:c>
      <x:c r="L102" s="46" t="n">
        <x:v>4</x:v>
      </x:c>
      <x:c r="M102" s="46" t="n">
        <x:v>4</x:v>
      </x:c>
      <x:c r="N102" s="46" t="n">
        <x:v>4</x:v>
      </x:c>
      <x:c r="O102" s="46" t="n">
        <x:v>4</x:v>
      </x:c>
      <x:c r="P102" s="46" t="n">
        <x:v>4</x:v>
      </x:c>
      <x:c r="Q102" s="46" t="n">
        <x:v>4</x:v>
      </x:c>
      <x:c r="R102" s="46" t="n">
        <x:v>4</x:v>
      </x:c>
      <x:c r="S102" s="46" t="n">
        <x:v>4</x:v>
      </x:c>
      <x:c r="T102" s="46" t="n">
        <x:v>5</x:v>
      </x:c>
      <x:c r="U102" s="46" t="n">
        <x:v>4</x:v>
      </x:c>
      <x:c r="V102" s="46" t="n">
        <x:v>4</x:v>
      </x:c>
      <x:c r="W102" s="46" t="n">
        <x:v>4</x:v>
      </x:c>
      <x:c r="X102" s="46" t="n">
        <x:v>5</x:v>
      </x:c>
      <x:c r="Y102" s="46" t="n">
        <x:v>5</x:v>
      </x:c>
      <x:c r="Z102" s="46" t="n">
        <x:v>5</x:v>
      </x:c>
      <x:c r="AA102" s="46" t="n">
        <x:v>4</x:v>
      </x:c>
      <x:c r="AB102" s="46" t="n">
        <x:v>5</x:v>
      </x:c>
      <x:c r="AC102" s="46" t="n">
        <x:v>5</x:v>
      </x:c>
      <x:c r="AD102" s="46" t="n">
        <x:v>4</x:v>
      </x:c>
      <x:c r="AE102" s="46" t="n">
        <x:v>4</x:v>
      </x:c>
      <x:c r="AF102" s="46" t="n">
        <x:v>4</x:v>
      </x:c>
      <x:c r="AG102" s="46" t="n">
        <x:v>4</x:v>
      </x:c>
      <x:c r="AH102" s="46" t="n">
        <x:f>AVERAGE(H102:N102)</x:f>
        <x:v>4.285714285714286</x:v>
      </x:c>
      <x:c r="AI102" s="46" t="n">
        <x:f>AVERAGE(O102:T102)</x:f>
        <x:v>4.166666666666667</x:v>
      </x:c>
      <x:c r="AJ102" s="46" t="n">
        <x:f>AVERAGE(U102:Z102)</x:f>
        <x:v>4.5</x:v>
      </x:c>
      <x:c r="AK102" s="46" t="n">
        <x:f>AVERAGE(AA102:AG102)</x:f>
        <x:v>4.285714285714286</x:v>
      </x:c>
    </x:row>
    <x:row r="103">
      <x:c r="A103" s="44" t="str">
        <x:v>Manual-68</x:v>
      </x:c>
      <x:c r="B103" s="44" t="str">
        <x:v>manual</x:v>
      </x:c>
      <x:c r="C103" s="44" t="str">
        <x:v>35–44</x:v>
      </x:c>
      <x:c r="D103" s="44" t="str">
        <x:v>11–20 years</x:v>
      </x:c>
      <x:c r="E103" s="44" t="str">
        <x:v>Clerical</x:v>
      </x:c>
      <x:c r="F103" s="45" t="n">
        <x:v>0</x:v>
      </x:c>
      <x:c r="G103" s="45" t="n">
        <x:v>0</x:v>
      </x:c>
      <x:c r="H103" s="46" t="n">
        <x:v>5</x:v>
      </x:c>
      <x:c r="I103" s="46" t="n">
        <x:v>5</x:v>
      </x:c>
      <x:c r="J103" s="46" t="n">
        <x:v>5</x:v>
      </x:c>
      <x:c r="K103" s="46" t="n">
        <x:v>5</x:v>
      </x:c>
      <x:c r="L103" s="46" t="n">
        <x:v>5</x:v>
      </x:c>
      <x:c r="M103" s="46" t="n">
        <x:v>5</x:v>
      </x:c>
      <x:c r="N103" s="46" t="n">
        <x:v>5</x:v>
      </x:c>
      <x:c r="O103" s="46" t="n">
        <x:v>5</x:v>
      </x:c>
      <x:c r="P103" s="46" t="n">
        <x:v>5</x:v>
      </x:c>
      <x:c r="Q103" s="46" t="n">
        <x:v>5</x:v>
      </x:c>
      <x:c r="R103" s="46" t="n">
        <x:v>5</x:v>
      </x:c>
      <x:c r="S103" s="46" t="n">
        <x:v>5</x:v>
      </x:c>
      <x:c r="T103" s="46" t="n">
        <x:v>5</x:v>
      </x:c>
      <x:c r="U103" s="46" t="n">
        <x:v>5</x:v>
      </x:c>
      <x:c r="V103" s="46" t="n">
        <x:v>5</x:v>
      </x:c>
      <x:c r="W103" s="46" t="n">
        <x:v>5</x:v>
      </x:c>
      <x:c r="X103" s="46" t="n">
        <x:v>5</x:v>
      </x:c>
      <x:c r="Y103" s="46" t="n">
        <x:v>5</x:v>
      </x:c>
      <x:c r="Z103" s="46" t="n">
        <x:v>5</x:v>
      </x:c>
      <x:c r="AA103" s="46" t="n">
        <x:v>5</x:v>
      </x:c>
      <x:c r="AB103" s="46" t="n">
        <x:v>5</x:v>
      </x:c>
      <x:c r="AC103" s="46" t="n">
        <x:v>5</x:v>
      </x:c>
      <x:c r="AD103" s="46" t="n">
        <x:v>5</x:v>
      </x:c>
      <x:c r="AE103" s="46" t="n">
        <x:v>5</x:v>
      </x:c>
      <x:c r="AF103" s="46" t="n">
        <x:v>5</x:v>
      </x:c>
      <x:c r="AG103" s="46" t="n">
        <x:v>5</x:v>
      </x:c>
      <x:c r="AH103" s="46" t="n">
        <x:f>AVERAGE(H103:N103)</x:f>
        <x:v>5</x:v>
      </x:c>
      <x:c r="AI103" s="46" t="n">
        <x:f>AVERAGE(O103:T103)</x:f>
        <x:v>5</x:v>
      </x:c>
      <x:c r="AJ103" s="46" t="n">
        <x:f>AVERAGE(U103:Z103)</x:f>
        <x:v>5</x:v>
      </x:c>
      <x:c r="AK103" s="46" t="n">
        <x:f>AVERAGE(AA103:AG103)</x:f>
        <x:v>5</x:v>
      </x:c>
    </x:row>
    <x:row r="104">
      <x:c r="A104" s="44" t="str">
        <x:v>Manual-70</x:v>
      </x:c>
      <x:c r="B104" s="44" t="str">
        <x:v>manual</x:v>
      </x:c>
      <x:c r="C104" s="44" t="str">
        <x:v>25–34</x:v>
      </x:c>
      <x:c r="D104" s="44" t="str">
        <x:v>Below 5 years</x:v>
      </x:c>
      <x:c r="E104" s="44" t="str">
        <x:v>Officer</x:v>
      </x:c>
      <x:c r="F104" s="45" t="n">
        <x:v>0</x:v>
      </x:c>
      <x:c r="G104" s="45" t="n">
        <x:v>0</x:v>
      </x:c>
      <x:c r="H104" s="46" t="n">
        <x:v>5</x:v>
      </x:c>
      <x:c r="I104" s="46" t="n">
        <x:v>4</x:v>
      </x:c>
      <x:c r="J104" s="46" t="n">
        <x:v>5</x:v>
      </x:c>
      <x:c r="K104" s="46" t="n">
        <x:v>5</x:v>
      </x:c>
      <x:c r="L104" s="46" t="n">
        <x:v>5</x:v>
      </x:c>
      <x:c r="M104" s="46" t="n">
        <x:v>5</x:v>
      </x:c>
      <x:c r="N104" s="46" t="n">
        <x:v>4</x:v>
      </x:c>
      <x:c r="O104" s="46" t="n">
        <x:v>4</x:v>
      </x:c>
      <x:c r="P104" s="46" t="n">
        <x:v>4</x:v>
      </x:c>
      <x:c r="Q104" s="46" t="n">
        <x:v>4</x:v>
      </x:c>
      <x:c r="R104" s="46" t="n">
        <x:v>4</x:v>
      </x:c>
      <x:c r="S104" s="46" t="n">
        <x:v>5</x:v>
      </x:c>
      <x:c r="T104" s="46" t="n">
        <x:v>4</x:v>
      </x:c>
      <x:c r="U104" s="46" t="n">
        <x:v>4</x:v>
      </x:c>
      <x:c r="V104" s="46" t="n">
        <x:v>4</x:v>
      </x:c>
      <x:c r="W104" s="46" t="n">
        <x:v>4</x:v>
      </x:c>
      <x:c r="X104" s="46" t="n">
        <x:v>5</x:v>
      </x:c>
      <x:c r="Y104" s="46" t="n">
        <x:v>3</x:v>
      </x:c>
      <x:c r="Z104" s="46" t="n">
        <x:v>5</x:v>
      </x:c>
      <x:c r="AA104" s="46" t="n">
        <x:v>4</x:v>
      </x:c>
      <x:c r="AB104" s="46" t="n">
        <x:v>5</x:v>
      </x:c>
      <x:c r="AC104" s="46" t="n">
        <x:v>5</x:v>
      </x:c>
      <x:c r="AD104" s="46" t="n">
        <x:v>4</x:v>
      </x:c>
      <x:c r="AE104" s="46" t="n">
        <x:v>5</x:v>
      </x:c>
      <x:c r="AF104" s="46" t="n">
        <x:v>4</x:v>
      </x:c>
      <x:c r="AG104" s="46" t="n">
        <x:v>5</x:v>
      </x:c>
      <x:c r="AH104" s="46" t="n">
        <x:f>AVERAGE(H104:N104)</x:f>
        <x:v>4.714285714285714</x:v>
      </x:c>
      <x:c r="AI104" s="46" t="n">
        <x:f>AVERAGE(O104:T104)</x:f>
        <x:v>4.166666666666667</x:v>
      </x:c>
      <x:c r="AJ104" s="46" t="n">
        <x:f>AVERAGE(U104:Z104)</x:f>
        <x:v>4.166666666666667</x:v>
      </x:c>
      <x:c r="AK104" s="46" t="n">
        <x:f>AVERAGE(AA104:AG104)</x:f>
        <x:v>4.571428571428571</x:v>
      </x:c>
    </x:row>
    <x:row r="105">
      <x:c r="A105" s="44"/>
      <x:c r="B105" s="44"/>
      <x:c r="C105" s="44"/>
      <x:c r="D105" s="44"/>
      <x:c r="E105" s="44"/>
      <x:c r="F105" s="45"/>
      <x:c r="G105" s="45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  <x:c r="AA105" s="46"/>
      <x:c r="AB105" s="46"/>
      <x:c r="AC105" s="46"/>
      <x:c r="AD105" s="46"/>
      <x:c r="AE105" s="46"/>
      <x:c r="AF105" s="46"/>
      <x:c r="AG105" s="46"/>
      <x:c r="AH105" s="46"/>
      <x:c r="AI105" s="46"/>
      <x:c r="AJ105" s="46"/>
      <x:c r="AK105" s="46"/>
    </x:row>
    <x:row r="106">
      <x:c r="A106" s="44"/>
      <x:c r="B106" s="44"/>
      <x:c r="C106" s="44"/>
      <x:c r="D106" s="44"/>
      <x:c r="E106" s="44"/>
      <x:c r="F106" s="45"/>
      <x:c r="G106" s="45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  <x:c r="AA106" s="46"/>
      <x:c r="AB106" s="46"/>
      <x:c r="AC106" s="46"/>
      <x:c r="AD106" s="46"/>
      <x:c r="AE106" s="46"/>
      <x:c r="AF106" s="46"/>
      <x:c r="AG106" s="46"/>
      <x:c r="AH106" s="46"/>
      <x:c r="AI106" s="46"/>
      <x:c r="AJ106" s="46"/>
      <x:c r="AK106" s="46"/>
    </x:row>
  </x:sheetData>
  <x:pageMargins left="0.7" right="0.7" top="0.75" bottom="0.75" header="0.3" footer="0.3"/>
  <x:tableParts count="1">
    <x:tablePart xmlns:r="http://schemas.openxmlformats.org/officeDocument/2006/relationships" r:id="Rdeaceb722ada4fa6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</x:cols>
  <x:sheetData>
    <x:row r="1">
      <x:c r="A1" s="36" t="str">
        <x:v>response_id</x:v>
      </x:c>
      <x:c r="B1" s="37" t="str">
        <x:v>source</x:v>
      </x:c>
      <x:c r="C1" s="37" t="str">
        <x:v>source_reference</x:v>
      </x:c>
      <x:c r="D1" s="37" t="str">
        <x:v>eligibility</x:v>
      </x:c>
      <x:c r="E1" s="37" t="str">
        <x:v>data_status</x:v>
      </x:c>
      <x:c r="F1" s="37" t="str">
        <x:v>included_in_final_analysis</x:v>
      </x:c>
      <x:c r="G1" s="37" t="str">
        <x:v>exclusion_reason</x:v>
      </x:c>
      <x:c r="H1" s="37" t="str">
        <x:v>flag_count</x:v>
      </x:c>
      <x:c r="I1" s="37" t="str">
        <x:v>flags</x:v>
      </x:c>
      <x:c r="J1" s="37" t="str">
        <x:v>imputation_count</x:v>
      </x:c>
      <x:c r="K1" s="38" t="str">
        <x:v>imputation_detail</x:v>
      </x:c>
    </x:row>
    <x:row r="2">
      <x:c r="A2" s="47" t="str">
        <x:v>Digital-01</x:v>
      </x:c>
      <x:c r="B2" s="47" t="str">
        <x:v>digital</x:v>
      </x:c>
      <x:c r="C2" s="47" t="str">
        <x:v>Google Forms workbook row 2; timestamp 2026-09-19 12:15:35.369000</x:v>
      </x:c>
      <x:c r="D2" s="47" t="str">
        <x:v>Yes</x:v>
      </x:c>
      <x:c r="E2" s="47" t="str">
        <x:v>retained</x:v>
      </x:c>
      <x:c r="F2" s="47" t="str">
        <x:v>Yes</x:v>
      </x:c>
      <x:c r="G2" s="47" t="str"/>
      <x:c r="H2" s="47" t="str">
        <x:v>0</x:v>
      </x:c>
      <x:c r="I2" s="47" t="str"/>
      <x:c r="J2" s="47" t="str">
        <x:v>0</x:v>
      </x:c>
      <x:c r="K2" s="47" t="str">
        <x:v>[]</x:v>
      </x:c>
    </x:row>
    <x:row r="3">
      <x:c r="A3" s="47" t="str">
        <x:v>Digital-02</x:v>
      </x:c>
      <x:c r="B3" s="47" t="str">
        <x:v>digital</x:v>
      </x:c>
      <x:c r="C3" s="47" t="str">
        <x:v>Google Forms workbook row 3; timestamp 2026-09-19 13:43:26.122000</x:v>
      </x:c>
      <x:c r="D3" s="47" t="str">
        <x:v>No</x:v>
      </x:c>
      <x:c r="E3" s="47" t="str">
        <x:v>excluded</x:v>
      </x:c>
      <x:c r="F3" s="47" t="str">
        <x:v>No</x:v>
      </x:c>
      <x:c r="G3" s="47" t="str">
        <x:v>Q1 eligibility response: No</x:v>
      </x:c>
      <x:c r="H3" s="47" t="str">
        <x:v>1</x:v>
      </x:c>
      <x:c r="I3" s="47" t="str">
        <x:v>ineligible_or_blank_Q1</x:v>
      </x:c>
      <x:c r="J3" s="47" t="str">
        <x:v>0</x:v>
      </x:c>
      <x:c r="K3" s="47" t="str">
        <x:v>[]</x:v>
      </x:c>
    </x:row>
    <x:row r="4">
      <x:c r="A4" s="47" t="str">
        <x:v>Digital-03</x:v>
      </x:c>
      <x:c r="B4" s="47" t="str">
        <x:v>digital</x:v>
      </x:c>
      <x:c r="C4" s="47" t="str">
        <x:v>Google Forms workbook row 4; timestamp 2026-09-19 14:41:00.915000</x:v>
      </x:c>
      <x:c r="D4" s="47" t="str">
        <x:v>No</x:v>
      </x:c>
      <x:c r="E4" s="47" t="str">
        <x:v>excluded</x:v>
      </x:c>
      <x:c r="F4" s="47" t="str">
        <x:v>No</x:v>
      </x:c>
      <x:c r="G4" s="47" t="str">
        <x:v>Q1 eligibility response: No</x:v>
      </x:c>
      <x:c r="H4" s="47" t="str">
        <x:v>1</x:v>
      </x:c>
      <x:c r="I4" s="47" t="str">
        <x:v>ineligible_or_blank_Q1</x:v>
      </x:c>
      <x:c r="J4" s="47" t="str">
        <x:v>0</x:v>
      </x:c>
      <x:c r="K4" s="47" t="str">
        <x:v>[]</x:v>
      </x:c>
    </x:row>
    <x:row r="5">
      <x:c r="A5" s="47" t="str">
        <x:v>Digital-04</x:v>
      </x:c>
      <x:c r="B5" s="47" t="str">
        <x:v>digital</x:v>
      </x:c>
      <x:c r="C5" s="47" t="str">
        <x:v>Google Forms workbook row 5; timestamp 2026-09-19 14:43:44.055000</x:v>
      </x:c>
      <x:c r="D5" s="47" t="str">
        <x:v>Yes</x:v>
      </x:c>
      <x:c r="E5" s="47" t="str">
        <x:v>retained</x:v>
      </x:c>
      <x:c r="F5" s="47" t="str">
        <x:v>Yes</x:v>
      </x:c>
      <x:c r="G5" s="47" t="str"/>
      <x:c r="H5" s="47" t="str">
        <x:v>0</x:v>
      </x:c>
      <x:c r="I5" s="47" t="str"/>
      <x:c r="J5" s="47" t="str">
        <x:v>0</x:v>
      </x:c>
      <x:c r="K5" s="47" t="str">
        <x:v>[]</x:v>
      </x:c>
    </x:row>
    <x:row r="6">
      <x:c r="A6" s="47" t="str">
        <x:v>Digital-05</x:v>
      </x:c>
      <x:c r="B6" s="47" t="str">
        <x:v>digital</x:v>
      </x:c>
      <x:c r="C6" s="47" t="str">
        <x:v>Google Forms workbook row 6; timestamp 2026-09-19 15:17:03.537000</x:v>
      </x:c>
      <x:c r="D6" s="47" t="str">
        <x:v>Yes</x:v>
      </x:c>
      <x:c r="E6" s="47" t="str">
        <x:v>retained</x:v>
      </x:c>
      <x:c r="F6" s="47" t="str">
        <x:v>Yes</x:v>
      </x:c>
      <x:c r="G6" s="47" t="str"/>
      <x:c r="H6" s="47" t="str">
        <x:v>0</x:v>
      </x:c>
      <x:c r="I6" s="47" t="str"/>
      <x:c r="J6" s="47" t="str">
        <x:v>0</x:v>
      </x:c>
      <x:c r="K6" s="47" t="str">
        <x:v>[]</x:v>
      </x:c>
    </x:row>
    <x:row r="7">
      <x:c r="A7" s="47" t="str">
        <x:v>Digital-06</x:v>
      </x:c>
      <x:c r="B7" s="47" t="str">
        <x:v>digital</x:v>
      </x:c>
      <x:c r="C7" s="47" t="str">
        <x:v>Google Forms workbook row 7; timestamp 2026-09-19 16:57:01.192000</x:v>
      </x:c>
      <x:c r="D7" s="47" t="str">
        <x:v>Yes</x:v>
      </x:c>
      <x:c r="E7" s="47" t="str">
        <x:v>retained</x:v>
      </x:c>
      <x:c r="F7" s="47" t="str">
        <x:v>Yes</x:v>
      </x:c>
      <x:c r="G7" s="47" t="str"/>
      <x:c r="H7" s="47" t="str">
        <x:v>0</x:v>
      </x:c>
      <x:c r="I7" s="47" t="str"/>
      <x:c r="J7" s="47" t="str">
        <x:v>0</x:v>
      </x:c>
      <x:c r="K7" s="47" t="str">
        <x:v>[]</x:v>
      </x:c>
    </x:row>
    <x:row r="8">
      <x:c r="A8" s="47" t="str">
        <x:v>Digital-07</x:v>
      </x:c>
      <x:c r="B8" s="47" t="str">
        <x:v>digital</x:v>
      </x:c>
      <x:c r="C8" s="47" t="str">
        <x:v>Google Forms workbook row 8; timestamp 2026-09-19 17:00:28.909000</x:v>
      </x:c>
      <x:c r="D8" s="47" t="str">
        <x:v>Yes</x:v>
      </x:c>
      <x:c r="E8" s="47" t="str">
        <x:v>retained</x:v>
      </x:c>
      <x:c r="F8" s="47" t="str">
        <x:v>Yes</x:v>
      </x:c>
      <x:c r="G8" s="47" t="str"/>
      <x:c r="H8" s="47" t="str">
        <x:v>0</x:v>
      </x:c>
      <x:c r="I8" s="47" t="str"/>
      <x:c r="J8" s="47" t="str">
        <x:v>0</x:v>
      </x:c>
      <x:c r="K8" s="47" t="str">
        <x:v>[]</x:v>
      </x:c>
    </x:row>
    <x:row r="9">
      <x:c r="A9" s="47" t="str">
        <x:v>Digital-08</x:v>
      </x:c>
      <x:c r="B9" s="47" t="str">
        <x:v>digital</x:v>
      </x:c>
      <x:c r="C9" s="47" t="str">
        <x:v>Google Forms workbook row 9; timestamp 2026-09-19 17:15:01.164000</x:v>
      </x:c>
      <x:c r="D9" s="47" t="str">
        <x:v>Yes</x:v>
      </x:c>
      <x:c r="E9" s="47" t="str">
        <x:v>retained</x:v>
      </x:c>
      <x:c r="F9" s="47" t="str">
        <x:v>Yes</x:v>
      </x:c>
      <x:c r="G9" s="47" t="str"/>
      <x:c r="H9" s="47" t="str">
        <x:v>0</x:v>
      </x:c>
      <x:c r="I9" s="47" t="str"/>
      <x:c r="J9" s="47" t="str">
        <x:v>0</x:v>
      </x:c>
      <x:c r="K9" s="47" t="str">
        <x:v>[]</x:v>
      </x:c>
    </x:row>
    <x:row r="10">
      <x:c r="A10" s="47" t="str">
        <x:v>Digital-09</x:v>
      </x:c>
      <x:c r="B10" s="47" t="str">
        <x:v>digital</x:v>
      </x:c>
      <x:c r="C10" s="47" t="str">
        <x:v>Google Forms workbook row 10; timestamp 2026-09-19 18:33:08.287000</x:v>
      </x:c>
      <x:c r="D10" s="47" t="str">
        <x:v>Yes</x:v>
      </x:c>
      <x:c r="E10" s="47" t="str">
        <x:v>retained</x:v>
      </x:c>
      <x:c r="F10" s="47" t="str">
        <x:v>Yes</x:v>
      </x:c>
      <x:c r="G10" s="47" t="str"/>
      <x:c r="H10" s="47" t="str">
        <x:v>0</x:v>
      </x:c>
      <x:c r="I10" s="47" t="str"/>
      <x:c r="J10" s="47" t="str">
        <x:v>0</x:v>
      </x:c>
      <x:c r="K10" s="47" t="str">
        <x:v>[]</x:v>
      </x:c>
    </x:row>
    <x:row r="11">
      <x:c r="A11" s="47" t="str">
        <x:v>Digital-10</x:v>
      </x:c>
      <x:c r="B11" s="47" t="str">
        <x:v>digital</x:v>
      </x:c>
      <x:c r="C11" s="47" t="str">
        <x:v>Google Forms workbook row 11; timestamp 2026-09-19 18:53:24.073000</x:v>
      </x:c>
      <x:c r="D11" s="47" t="str">
        <x:v>Yes</x:v>
      </x:c>
      <x:c r="E11" s="47" t="str">
        <x:v>retained</x:v>
      </x:c>
      <x:c r="F11" s="47" t="str">
        <x:v>Yes</x:v>
      </x:c>
      <x:c r="G11" s="47" t="str"/>
      <x:c r="H11" s="47" t="str">
        <x:v>0</x:v>
      </x:c>
      <x:c r="I11" s="47" t="str"/>
      <x:c r="J11" s="47" t="str">
        <x:v>0</x:v>
      </x:c>
      <x:c r="K11" s="47" t="str">
        <x:v>[]</x:v>
      </x:c>
    </x:row>
    <x:row r="12">
      <x:c r="A12" s="47" t="str">
        <x:v>Digital-11</x:v>
      </x:c>
      <x:c r="B12" s="47" t="str">
        <x:v>digital</x:v>
      </x:c>
      <x:c r="C12" s="47" t="str">
        <x:v>Google Forms workbook row 12; timestamp 2026-09-19 18:57:35.204000</x:v>
      </x:c>
      <x:c r="D12" s="47" t="str">
        <x:v>Yes</x:v>
      </x:c>
      <x:c r="E12" s="47" t="str">
        <x:v>retained</x:v>
      </x:c>
      <x:c r="F12" s="47" t="str">
        <x:v>Yes</x:v>
      </x:c>
      <x:c r="G12" s="47" t="str"/>
      <x:c r="H12" s="47" t="str">
        <x:v>0</x:v>
      </x:c>
      <x:c r="I12" s="47" t="str"/>
      <x:c r="J12" s="47" t="str">
        <x:v>0</x:v>
      </x:c>
      <x:c r="K12" s="47" t="str">
        <x:v>[]</x:v>
      </x:c>
    </x:row>
    <x:row r="13">
      <x:c r="A13" s="47" t="str">
        <x:v>Digital-12</x:v>
      </x:c>
      <x:c r="B13" s="47" t="str">
        <x:v>digital</x:v>
      </x:c>
      <x:c r="C13" s="47" t="str">
        <x:v>Google Forms workbook row 13; timestamp 2026-09-19 19:12:10.828000</x:v>
      </x:c>
      <x:c r="D13" s="47" t="str">
        <x:v>Yes</x:v>
      </x:c>
      <x:c r="E13" s="47" t="str">
        <x:v>retained</x:v>
      </x:c>
      <x:c r="F13" s="47" t="str">
        <x:v>Yes</x:v>
      </x:c>
      <x:c r="G13" s="47" t="str"/>
      <x:c r="H13" s="47" t="str">
        <x:v>0</x:v>
      </x:c>
      <x:c r="I13" s="47" t="str"/>
      <x:c r="J13" s="47" t="str">
        <x:v>0</x:v>
      </x:c>
      <x:c r="K13" s="47" t="str">
        <x:v>[]</x:v>
      </x:c>
    </x:row>
    <x:row r="14">
      <x:c r="A14" s="47" t="str">
        <x:v>Digital-13</x:v>
      </x:c>
      <x:c r="B14" s="47" t="str">
        <x:v>digital</x:v>
      </x:c>
      <x:c r="C14" s="47" t="str">
        <x:v>Google Forms workbook row 14; timestamp 2026-09-19 19:16:15.969000</x:v>
      </x:c>
      <x:c r="D14" s="47" t="str">
        <x:v>Yes</x:v>
      </x:c>
      <x:c r="E14" s="47" t="str">
        <x:v>retained</x:v>
      </x:c>
      <x:c r="F14" s="47" t="str">
        <x:v>Yes</x:v>
      </x:c>
      <x:c r="G14" s="47" t="str"/>
      <x:c r="H14" s="47" t="str">
        <x:v>0</x:v>
      </x:c>
      <x:c r="I14" s="47" t="str"/>
      <x:c r="J14" s="47" t="str">
        <x:v>0</x:v>
      </x:c>
      <x:c r="K14" s="47" t="str">
        <x:v>[]</x:v>
      </x:c>
    </x:row>
    <x:row r="15">
      <x:c r="A15" s="47" t="str">
        <x:v>Digital-14</x:v>
      </x:c>
      <x:c r="B15" s="47" t="str">
        <x:v>digital</x:v>
      </x:c>
      <x:c r="C15" s="47" t="str">
        <x:v>Google Forms workbook row 15; timestamp 2026-09-19 19:16:54.582000</x:v>
      </x:c>
      <x:c r="D15" s="47" t="str">
        <x:v>Yes</x:v>
      </x:c>
      <x:c r="E15" s="47" t="str">
        <x:v>retained</x:v>
      </x:c>
      <x:c r="F15" s="47" t="str">
        <x:v>Yes</x:v>
      </x:c>
      <x:c r="G15" s="47" t="str"/>
      <x:c r="H15" s="47" t="str">
        <x:v>0</x:v>
      </x:c>
      <x:c r="I15" s="47" t="str"/>
      <x:c r="J15" s="47" t="str">
        <x:v>0</x:v>
      </x:c>
      <x:c r="K15" s="47" t="str">
        <x:v>[]</x:v>
      </x:c>
    </x:row>
    <x:row r="16">
      <x:c r="A16" s="47" t="str">
        <x:v>Digital-15</x:v>
      </x:c>
      <x:c r="B16" s="47" t="str">
        <x:v>digital</x:v>
      </x:c>
      <x:c r="C16" s="47" t="str">
        <x:v>Google Forms workbook row 16; timestamp 2026-09-19 19:22:42.652000</x:v>
      </x:c>
      <x:c r="D16" s="47" t="str">
        <x:v>Yes</x:v>
      </x:c>
      <x:c r="E16" s="47" t="str">
        <x:v>retained</x:v>
      </x:c>
      <x:c r="F16" s="47" t="str">
        <x:v>Yes</x:v>
      </x:c>
      <x:c r="G16" s="47" t="str"/>
      <x:c r="H16" s="47" t="str">
        <x:v>0</x:v>
      </x:c>
      <x:c r="I16" s="47" t="str"/>
      <x:c r="J16" s="47" t="str">
        <x:v>0</x:v>
      </x:c>
      <x:c r="K16" s="47" t="str">
        <x:v>[]</x:v>
      </x:c>
    </x:row>
    <x:row r="17">
      <x:c r="A17" s="47" t="str">
        <x:v>Digital-16</x:v>
      </x:c>
      <x:c r="B17" s="47" t="str">
        <x:v>digital</x:v>
      </x:c>
      <x:c r="C17" s="47" t="str">
        <x:v>Google Forms workbook row 17; timestamp 2026-09-19 19:29:23.820000</x:v>
      </x:c>
      <x:c r="D17" s="47" t="str">
        <x:v>Yes</x:v>
      </x:c>
      <x:c r="E17" s="47" t="str">
        <x:v>retained</x:v>
      </x:c>
      <x:c r="F17" s="47" t="str">
        <x:v>Yes</x:v>
      </x:c>
      <x:c r="G17" s="47" t="str"/>
      <x:c r="H17" s="47" t="str">
        <x:v>0</x:v>
      </x:c>
      <x:c r="I17" s="47" t="str"/>
      <x:c r="J17" s="47" t="str">
        <x:v>0</x:v>
      </x:c>
      <x:c r="K17" s="47" t="str">
        <x:v>[]</x:v>
      </x:c>
    </x:row>
    <x:row r="18">
      <x:c r="A18" s="47" t="str">
        <x:v>Digital-17</x:v>
      </x:c>
      <x:c r="B18" s="47" t="str">
        <x:v>digital</x:v>
      </x:c>
      <x:c r="C18" s="47" t="str">
        <x:v>Google Forms workbook row 18; timestamp 2026-09-19 19:45:55.248000</x:v>
      </x:c>
      <x:c r="D18" s="47" t="str">
        <x:v>Yes</x:v>
      </x:c>
      <x:c r="E18" s="47" t="str">
        <x:v>retained</x:v>
      </x:c>
      <x:c r="F18" s="47" t="str">
        <x:v>Yes</x:v>
      </x:c>
      <x:c r="G18" s="47" t="str"/>
      <x:c r="H18" s="47" t="str">
        <x:v>0</x:v>
      </x:c>
      <x:c r="I18" s="47" t="str"/>
      <x:c r="J18" s="47" t="str">
        <x:v>0</x:v>
      </x:c>
      <x:c r="K18" s="47" t="str">
        <x:v>[]</x:v>
      </x:c>
    </x:row>
    <x:row r="19">
      <x:c r="A19" s="47" t="str">
        <x:v>Digital-18</x:v>
      </x:c>
      <x:c r="B19" s="47" t="str">
        <x:v>digital</x:v>
      </x:c>
      <x:c r="C19" s="47" t="str">
        <x:v>Google Forms workbook row 19; timestamp 2026-09-19 20:17:32.063000</x:v>
      </x:c>
      <x:c r="D19" s="47" t="str">
        <x:v>Yes</x:v>
      </x:c>
      <x:c r="E19" s="47" t="str">
        <x:v>retained</x:v>
      </x:c>
      <x:c r="F19" s="47" t="str">
        <x:v>Yes</x:v>
      </x:c>
      <x:c r="G19" s="47" t="str"/>
      <x:c r="H19" s="47" t="str">
        <x:v>0</x:v>
      </x:c>
      <x:c r="I19" s="47" t="str"/>
      <x:c r="J19" s="47" t="str">
        <x:v>0</x:v>
      </x:c>
      <x:c r="K19" s="47" t="str">
        <x:v>[]</x:v>
      </x:c>
    </x:row>
    <x:row r="20">
      <x:c r="A20" s="47" t="str">
        <x:v>Digital-19</x:v>
      </x:c>
      <x:c r="B20" s="47" t="str">
        <x:v>digital</x:v>
      </x:c>
      <x:c r="C20" s="47" t="str">
        <x:v>Google Forms workbook row 20; timestamp 2026-09-19 20:29:47.594000</x:v>
      </x:c>
      <x:c r="D20" s="47" t="str">
        <x:v>Yes</x:v>
      </x:c>
      <x:c r="E20" s="47" t="str">
        <x:v>retained</x:v>
      </x:c>
      <x:c r="F20" s="47" t="str">
        <x:v>Yes</x:v>
      </x:c>
      <x:c r="G20" s="47" t="str"/>
      <x:c r="H20" s="47" t="str">
        <x:v>0</x:v>
      </x:c>
      <x:c r="I20" s="47" t="str"/>
      <x:c r="J20" s="47" t="str">
        <x:v>0</x:v>
      </x:c>
      <x:c r="K20" s="47" t="str">
        <x:v>[]</x:v>
      </x:c>
    </x:row>
    <x:row r="21">
      <x:c r="A21" s="47" t="str">
        <x:v>Digital-20</x:v>
      </x:c>
      <x:c r="B21" s="47" t="str">
        <x:v>digital</x:v>
      </x:c>
      <x:c r="C21" s="47" t="str">
        <x:v>Google Forms workbook row 21; timestamp 2026-09-19 21:00:15.950000</x:v>
      </x:c>
      <x:c r="D21" s="47" t="str">
        <x:v>Yes</x:v>
      </x:c>
      <x:c r="E21" s="47" t="str">
        <x:v>retained</x:v>
      </x:c>
      <x:c r="F21" s="47" t="str">
        <x:v>Yes</x:v>
      </x:c>
      <x:c r="G21" s="47" t="str"/>
      <x:c r="H21" s="47" t="str">
        <x:v>0</x:v>
      </x:c>
      <x:c r="I21" s="47" t="str"/>
      <x:c r="J21" s="47" t="str">
        <x:v>0</x:v>
      </x:c>
      <x:c r="K21" s="47" t="str">
        <x:v>[]</x:v>
      </x:c>
    </x:row>
    <x:row r="22">
      <x:c r="A22" s="47" t="str">
        <x:v>Digital-21</x:v>
      </x:c>
      <x:c r="B22" s="47" t="str">
        <x:v>digital</x:v>
      </x:c>
      <x:c r="C22" s="47" t="str">
        <x:v>Google Forms workbook row 22; timestamp 2026-09-19 21:08:10.494000</x:v>
      </x:c>
      <x:c r="D22" s="47" t="str">
        <x:v>Yes</x:v>
      </x:c>
      <x:c r="E22" s="47" t="str">
        <x:v>retained</x:v>
      </x:c>
      <x:c r="F22" s="47" t="str">
        <x:v>Yes</x:v>
      </x:c>
      <x:c r="G22" s="47" t="str"/>
      <x:c r="H22" s="47" t="str">
        <x:v>0</x:v>
      </x:c>
      <x:c r="I22" s="47" t="str"/>
      <x:c r="J22" s="47" t="str">
        <x:v>0</x:v>
      </x:c>
      <x:c r="K22" s="47" t="str">
        <x:v>[]</x:v>
      </x:c>
    </x:row>
    <x:row r="23">
      <x:c r="A23" s="47" t="str">
        <x:v>Digital-22</x:v>
      </x:c>
      <x:c r="B23" s="47" t="str">
        <x:v>digital</x:v>
      </x:c>
      <x:c r="C23" s="47" t="str">
        <x:v>Google Forms workbook row 23; timestamp 2026-09-19 21:08:50.891000</x:v>
      </x:c>
      <x:c r="D23" s="47" t="str">
        <x:v>Yes</x:v>
      </x:c>
      <x:c r="E23" s="47" t="str">
        <x:v>retained</x:v>
      </x:c>
      <x:c r="F23" s="47" t="str">
        <x:v>Yes</x:v>
      </x:c>
      <x:c r="G23" s="47" t="str"/>
      <x:c r="H23" s="47" t="str">
        <x:v>0</x:v>
      </x:c>
      <x:c r="I23" s="47" t="str"/>
      <x:c r="J23" s="47" t="str">
        <x:v>0</x:v>
      </x:c>
      <x:c r="K23" s="47" t="str">
        <x:v>[]</x:v>
      </x:c>
    </x:row>
    <x:row r="24">
      <x:c r="A24" s="47" t="str">
        <x:v>Digital-23</x:v>
      </x:c>
      <x:c r="B24" s="47" t="str">
        <x:v>digital</x:v>
      </x:c>
      <x:c r="C24" s="47" t="str">
        <x:v>Google Forms workbook row 24; timestamp 2026-09-19 22:47:47.552000</x:v>
      </x:c>
      <x:c r="D24" s="47" t="str">
        <x:v>Yes</x:v>
      </x:c>
      <x:c r="E24" s="47" t="str">
        <x:v>retained</x:v>
      </x:c>
      <x:c r="F24" s="47" t="str">
        <x:v>Yes</x:v>
      </x:c>
      <x:c r="G24" s="47" t="str"/>
      <x:c r="H24" s="47" t="str">
        <x:v>0</x:v>
      </x:c>
      <x:c r="I24" s="47" t="str"/>
      <x:c r="J24" s="47" t="str">
        <x:v>0</x:v>
      </x:c>
      <x:c r="K24" s="47" t="str">
        <x:v>[]</x:v>
      </x:c>
    </x:row>
    <x:row r="25">
      <x:c r="A25" s="47" t="str">
        <x:v>Digital-24</x:v>
      </x:c>
      <x:c r="B25" s="47" t="str">
        <x:v>digital</x:v>
      </x:c>
      <x:c r="C25" s="47" t="str">
        <x:v>Google Forms workbook row 25; timestamp 2026-09-19 23:10:20.978000</x:v>
      </x:c>
      <x:c r="D25" s="47" t="str">
        <x:v>Yes</x:v>
      </x:c>
      <x:c r="E25" s="47" t="str">
        <x:v>retained</x:v>
      </x:c>
      <x:c r="F25" s="47" t="str">
        <x:v>Yes</x:v>
      </x:c>
      <x:c r="G25" s="47" t="str"/>
      <x:c r="H25" s="47" t="str">
        <x:v>0</x:v>
      </x:c>
      <x:c r="I25" s="47" t="str"/>
      <x:c r="J25" s="47" t="str">
        <x:v>0</x:v>
      </x:c>
      <x:c r="K25" s="47" t="str">
        <x:v>[]</x:v>
      </x:c>
    </x:row>
    <x:row r="26">
      <x:c r="A26" s="47" t="str">
        <x:v>Digital-25</x:v>
      </x:c>
      <x:c r="B26" s="47" t="str">
        <x:v>digital</x:v>
      </x:c>
      <x:c r="C26" s="47" t="str">
        <x:v>Google Forms workbook row 26; timestamp 2026-09-20 06:02:27.174000</x:v>
      </x:c>
      <x:c r="D26" s="47" t="str">
        <x:v>Yes</x:v>
      </x:c>
      <x:c r="E26" s="47" t="str">
        <x:v>retained</x:v>
      </x:c>
      <x:c r="F26" s="47" t="str">
        <x:v>Yes</x:v>
      </x:c>
      <x:c r="G26" s="47" t="str"/>
      <x:c r="H26" s="47" t="str">
        <x:v>0</x:v>
      </x:c>
      <x:c r="I26" s="47" t="str"/>
      <x:c r="J26" s="47" t="str">
        <x:v>0</x:v>
      </x:c>
      <x:c r="K26" s="47" t="str">
        <x:v>[]</x:v>
      </x:c>
    </x:row>
    <x:row r="27">
      <x:c r="A27" s="47" t="str">
        <x:v>Digital-26</x:v>
      </x:c>
      <x:c r="B27" s="47" t="str">
        <x:v>digital</x:v>
      </x:c>
      <x:c r="C27" s="47" t="str">
        <x:v>Google Forms workbook row 27; timestamp 2026-09-20 08:11:46.176000</x:v>
      </x:c>
      <x:c r="D27" s="47" t="str">
        <x:v>Yes</x:v>
      </x:c>
      <x:c r="E27" s="47" t="str">
        <x:v>retained</x:v>
      </x:c>
      <x:c r="F27" s="47" t="str">
        <x:v>Yes</x:v>
      </x:c>
      <x:c r="G27" s="47" t="str"/>
      <x:c r="H27" s="47" t="str">
        <x:v>0</x:v>
      </x:c>
      <x:c r="I27" s="47" t="str"/>
      <x:c r="J27" s="47" t="str">
        <x:v>0</x:v>
      </x:c>
      <x:c r="K27" s="47" t="str">
        <x:v>[]</x:v>
      </x:c>
    </x:row>
    <x:row r="28">
      <x:c r="A28" s="47" t="str">
        <x:v>Digital-27</x:v>
      </x:c>
      <x:c r="B28" s="47" t="str">
        <x:v>digital</x:v>
      </x:c>
      <x:c r="C28" s="47" t="str">
        <x:v>Google Forms workbook row 28; timestamp 2026-09-20 08:50:33.839000</x:v>
      </x:c>
      <x:c r="D28" s="47" t="str">
        <x:v>No</x:v>
      </x:c>
      <x:c r="E28" s="47" t="str">
        <x:v>excluded</x:v>
      </x:c>
      <x:c r="F28" s="47" t="str">
        <x:v>No</x:v>
      </x:c>
      <x:c r="G28" s="47" t="str">
        <x:v>Q1 eligibility response: No</x:v>
      </x:c>
      <x:c r="H28" s="47" t="str">
        <x:v>1</x:v>
      </x:c>
      <x:c r="I28" s="47" t="str">
        <x:v>ineligible_or_blank_Q1</x:v>
      </x:c>
      <x:c r="J28" s="47" t="str">
        <x:v>0</x:v>
      </x:c>
      <x:c r="K28" s="47" t="str">
        <x:v>[]</x:v>
      </x:c>
    </x:row>
    <x:row r="29">
      <x:c r="A29" s="47" t="str">
        <x:v>Digital-28</x:v>
      </x:c>
      <x:c r="B29" s="47" t="str">
        <x:v>digital</x:v>
      </x:c>
      <x:c r="C29" s="47" t="str">
        <x:v>Google Forms workbook row 29; timestamp 2026-09-20 08:51:40.400000</x:v>
      </x:c>
      <x:c r="D29" s="47" t="str">
        <x:v>No</x:v>
      </x:c>
      <x:c r="E29" s="47" t="str">
        <x:v>excluded</x:v>
      </x:c>
      <x:c r="F29" s="47" t="str">
        <x:v>No</x:v>
      </x:c>
      <x:c r="G29" s="47" t="str">
        <x:v>Q1 eligibility response: No</x:v>
      </x:c>
      <x:c r="H29" s="47" t="str">
        <x:v>1</x:v>
      </x:c>
      <x:c r="I29" s="47" t="str">
        <x:v>ineligible_or_blank_Q1</x:v>
      </x:c>
      <x:c r="J29" s="47" t="str">
        <x:v>0</x:v>
      </x:c>
      <x:c r="K29" s="47" t="str">
        <x:v>[]</x:v>
      </x:c>
    </x:row>
    <x:row r="30">
      <x:c r="A30" s="47" t="str">
        <x:v>Digital-29</x:v>
      </x:c>
      <x:c r="B30" s="47" t="str">
        <x:v>digital</x:v>
      </x:c>
      <x:c r="C30" s="47" t="str">
        <x:v>Google Forms workbook row 30; timestamp 2026-09-20 09:01:32.347000</x:v>
      </x:c>
      <x:c r="D30" s="47" t="str">
        <x:v>Yes</x:v>
      </x:c>
      <x:c r="E30" s="47" t="str">
        <x:v>retained</x:v>
      </x:c>
      <x:c r="F30" s="47" t="str">
        <x:v>Yes</x:v>
      </x:c>
      <x:c r="G30" s="47" t="str"/>
      <x:c r="H30" s="47" t="str">
        <x:v>0</x:v>
      </x:c>
      <x:c r="I30" s="47" t="str"/>
      <x:c r="J30" s="47" t="str">
        <x:v>0</x:v>
      </x:c>
      <x:c r="K30" s="47" t="str">
        <x:v>[]</x:v>
      </x:c>
    </x:row>
    <x:row r="31">
      <x:c r="A31" s="47" t="str">
        <x:v>Digital-30</x:v>
      </x:c>
      <x:c r="B31" s="47" t="str">
        <x:v>digital</x:v>
      </x:c>
      <x:c r="C31" s="47" t="str">
        <x:v>Google Forms workbook row 31; timestamp 2026-09-20 09:04:59.524000</x:v>
      </x:c>
      <x:c r="D31" s="47" t="str">
        <x:v>No</x:v>
      </x:c>
      <x:c r="E31" s="47" t="str">
        <x:v>excluded</x:v>
      </x:c>
      <x:c r="F31" s="47" t="str">
        <x:v>No</x:v>
      </x:c>
      <x:c r="G31" s="47" t="str">
        <x:v>Q1 eligibility response: No</x:v>
      </x:c>
      <x:c r="H31" s="47" t="str">
        <x:v>1</x:v>
      </x:c>
      <x:c r="I31" s="47" t="str">
        <x:v>ineligible_or_blank_Q1</x:v>
      </x:c>
      <x:c r="J31" s="47" t="str">
        <x:v>0</x:v>
      </x:c>
      <x:c r="K31" s="47" t="str">
        <x:v>[]</x:v>
      </x:c>
    </x:row>
    <x:row r="32">
      <x:c r="A32" s="47" t="str">
        <x:v>Digital-31</x:v>
      </x:c>
      <x:c r="B32" s="47" t="str">
        <x:v>digital</x:v>
      </x:c>
      <x:c r="C32" s="47" t="str">
        <x:v>Google Forms workbook row 32; timestamp 2026-09-20 11:21:15.088000</x:v>
      </x:c>
      <x:c r="D32" s="47" t="str">
        <x:v>Yes</x:v>
      </x:c>
      <x:c r="E32" s="47" t="str">
        <x:v>retained</x:v>
      </x:c>
      <x:c r="F32" s="47" t="str">
        <x:v>Yes</x:v>
      </x:c>
      <x:c r="G32" s="47" t="str"/>
      <x:c r="H32" s="47" t="str">
        <x:v>0</x:v>
      </x:c>
      <x:c r="I32" s="47" t="str"/>
      <x:c r="J32" s="47" t="str">
        <x:v>0</x:v>
      </x:c>
      <x:c r="K32" s="47" t="str">
        <x:v>[]</x:v>
      </x:c>
    </x:row>
    <x:row r="33">
      <x:c r="A33" s="47" t="str">
        <x:v>Digital-32</x:v>
      </x:c>
      <x:c r="B33" s="47" t="str">
        <x:v>digital</x:v>
      </x:c>
      <x:c r="C33" s="47" t="str">
        <x:v>Google Forms workbook row 33; timestamp 2026-09-20 12:12:08.743000</x:v>
      </x:c>
      <x:c r="D33" s="47" t="str">
        <x:v>Yes</x:v>
      </x:c>
      <x:c r="E33" s="47" t="str">
        <x:v>retained</x:v>
      </x:c>
      <x:c r="F33" s="47" t="str">
        <x:v>Yes</x:v>
      </x:c>
      <x:c r="G33" s="47" t="str"/>
      <x:c r="H33" s="47" t="str">
        <x:v>0</x:v>
      </x:c>
      <x:c r="I33" s="47" t="str"/>
      <x:c r="J33" s="47" t="str">
        <x:v>0</x:v>
      </x:c>
      <x:c r="K33" s="47" t="str">
        <x:v>[]</x:v>
      </x:c>
    </x:row>
    <x:row r="34">
      <x:c r="A34" s="47" t="str">
        <x:v>Digital-33</x:v>
      </x:c>
      <x:c r="B34" s="47" t="str">
        <x:v>digital</x:v>
      </x:c>
      <x:c r="C34" s="47" t="str">
        <x:v>Google Forms workbook row 34; timestamp 2026-09-20 12:20:38.281000</x:v>
      </x:c>
      <x:c r="D34" s="47" t="str">
        <x:v>No</x:v>
      </x:c>
      <x:c r="E34" s="47" t="str">
        <x:v>excluded</x:v>
      </x:c>
      <x:c r="F34" s="47" t="str">
        <x:v>No</x:v>
      </x:c>
      <x:c r="G34" s="47" t="str">
        <x:v>Q1 eligibility response: No</x:v>
      </x:c>
      <x:c r="H34" s="47" t="str">
        <x:v>1</x:v>
      </x:c>
      <x:c r="I34" s="47" t="str">
        <x:v>ineligible_or_blank_Q1</x:v>
      </x:c>
      <x:c r="J34" s="47" t="str">
        <x:v>0</x:v>
      </x:c>
      <x:c r="K34" s="47" t="str">
        <x:v>[]</x:v>
      </x:c>
    </x:row>
    <x:row r="35">
      <x:c r="A35" s="47" t="str">
        <x:v>Digital-34</x:v>
      </x:c>
      <x:c r="B35" s="47" t="str">
        <x:v>digital</x:v>
      </x:c>
      <x:c r="C35" s="47" t="str">
        <x:v>Google Forms workbook row 35; timestamp 2026-09-20 12:24:16.974000</x:v>
      </x:c>
      <x:c r="D35" s="47" t="str">
        <x:v>Yes</x:v>
      </x:c>
      <x:c r="E35" s="47" t="str">
        <x:v>retained</x:v>
      </x:c>
      <x:c r="F35" s="47" t="str">
        <x:v>Yes</x:v>
      </x:c>
      <x:c r="G35" s="47" t="str"/>
      <x:c r="H35" s="47" t="str">
        <x:v>0</x:v>
      </x:c>
      <x:c r="I35" s="47" t="str"/>
      <x:c r="J35" s="47" t="str">
        <x:v>0</x:v>
      </x:c>
      <x:c r="K35" s="47" t="str">
        <x:v>[]</x:v>
      </x:c>
    </x:row>
    <x:row r="36">
      <x:c r="A36" s="47" t="str">
        <x:v>Digital-35</x:v>
      </x:c>
      <x:c r="B36" s="47" t="str">
        <x:v>digital</x:v>
      </x:c>
      <x:c r="C36" s="47" t="str">
        <x:v>Google Forms workbook row 36; timestamp 2026-09-20 12:31:11.050000</x:v>
      </x:c>
      <x:c r="D36" s="47" t="str">
        <x:v>No</x:v>
      </x:c>
      <x:c r="E36" s="47" t="str">
        <x:v>excluded</x:v>
      </x:c>
      <x:c r="F36" s="47" t="str">
        <x:v>No</x:v>
      </x:c>
      <x:c r="G36" s="47" t="str">
        <x:v>Q1 eligibility response: No</x:v>
      </x:c>
      <x:c r="H36" s="47" t="str">
        <x:v>1</x:v>
      </x:c>
      <x:c r="I36" s="47" t="str">
        <x:v>ineligible_or_blank_Q1</x:v>
      </x:c>
      <x:c r="J36" s="47" t="str">
        <x:v>0</x:v>
      </x:c>
      <x:c r="K36" s="47" t="str">
        <x:v>[]</x:v>
      </x:c>
    </x:row>
    <x:row r="37">
      <x:c r="A37" s="47" t="str">
        <x:v>Digital-36</x:v>
      </x:c>
      <x:c r="B37" s="47" t="str">
        <x:v>digital</x:v>
      </x:c>
      <x:c r="C37" s="47" t="str">
        <x:v>Google Forms workbook row 37; timestamp 2026-09-20 12:48:19.478000</x:v>
      </x:c>
      <x:c r="D37" s="47" t="str">
        <x:v>Yes</x:v>
      </x:c>
      <x:c r="E37" s="47" t="str">
        <x:v>retained</x:v>
      </x:c>
      <x:c r="F37" s="47" t="str">
        <x:v>Yes</x:v>
      </x:c>
      <x:c r="G37" s="47" t="str"/>
      <x:c r="H37" s="47" t="str">
        <x:v>0</x:v>
      </x:c>
      <x:c r="I37" s="47" t="str"/>
      <x:c r="J37" s="47" t="str">
        <x:v>0</x:v>
      </x:c>
      <x:c r="K37" s="47" t="str">
        <x:v>[]</x:v>
      </x:c>
    </x:row>
    <x:row r="38">
      <x:c r="A38" s="47" t="str">
        <x:v>Digital-37</x:v>
      </x:c>
      <x:c r="B38" s="47" t="str">
        <x:v>digital</x:v>
      </x:c>
      <x:c r="C38" s="47" t="str">
        <x:v>Google Forms workbook row 38; timestamp 2026-09-20 13:34:28.390000</x:v>
      </x:c>
      <x:c r="D38" s="47" t="str">
        <x:v>Yes</x:v>
      </x:c>
      <x:c r="E38" s="47" t="str">
        <x:v>retained</x:v>
      </x:c>
      <x:c r="F38" s="47" t="str">
        <x:v>Yes</x:v>
      </x:c>
      <x:c r="G38" s="47" t="str"/>
      <x:c r="H38" s="47" t="str">
        <x:v>0</x:v>
      </x:c>
      <x:c r="I38" s="47" t="str"/>
      <x:c r="J38" s="47" t="str">
        <x:v>0</x:v>
      </x:c>
      <x:c r="K38" s="47" t="str">
        <x:v>[]</x:v>
      </x:c>
    </x:row>
    <x:row r="39">
      <x:c r="A39" s="47" t="str">
        <x:v>Digital-38</x:v>
      </x:c>
      <x:c r="B39" s="47" t="str">
        <x:v>digital</x:v>
      </x:c>
      <x:c r="C39" s="47" t="str">
        <x:v>Google Forms workbook row 39; timestamp 2026-09-20 13:47:55.345000</x:v>
      </x:c>
      <x:c r="D39" s="47" t="str">
        <x:v>Yes</x:v>
      </x:c>
      <x:c r="E39" s="47" t="str">
        <x:v>retained</x:v>
      </x:c>
      <x:c r="F39" s="47" t="str">
        <x:v>Yes</x:v>
      </x:c>
      <x:c r="G39" s="47" t="str"/>
      <x:c r="H39" s="47" t="str">
        <x:v>0</x:v>
      </x:c>
      <x:c r="I39" s="47" t="str"/>
      <x:c r="J39" s="47" t="str">
        <x:v>0</x:v>
      </x:c>
      <x:c r="K39" s="47" t="str">
        <x:v>[]</x:v>
      </x:c>
    </x:row>
    <x:row r="40">
      <x:c r="A40" s="47" t="str">
        <x:v>Digital-39</x:v>
      </x:c>
      <x:c r="B40" s="47" t="str">
        <x:v>digital</x:v>
      </x:c>
      <x:c r="C40" s="47" t="str">
        <x:v>Google Forms workbook row 40; timestamp 2026-09-20 14:41:37.116000</x:v>
      </x:c>
      <x:c r="D40" s="47" t="str">
        <x:v>Yes</x:v>
      </x:c>
      <x:c r="E40" s="47" t="str">
        <x:v>retained</x:v>
      </x:c>
      <x:c r="F40" s="47" t="str">
        <x:v>Yes</x:v>
      </x:c>
      <x:c r="G40" s="47" t="str"/>
      <x:c r="H40" s="47" t="str">
        <x:v>0</x:v>
      </x:c>
      <x:c r="I40" s="47" t="str"/>
      <x:c r="J40" s="47" t="str">
        <x:v>0</x:v>
      </x:c>
      <x:c r="K40" s="47" t="str">
        <x:v>[]</x:v>
      </x:c>
    </x:row>
    <x:row r="41">
      <x:c r="A41" s="47" t="str">
        <x:v>Digital-40</x:v>
      </x:c>
      <x:c r="B41" s="47" t="str">
        <x:v>digital</x:v>
      </x:c>
      <x:c r="C41" s="47" t="str">
        <x:v>Google Forms workbook row 41; timestamp 2026-09-20 14:57:16.592000</x:v>
      </x:c>
      <x:c r="D41" s="47" t="str">
        <x:v>Yes</x:v>
      </x:c>
      <x:c r="E41" s="47" t="str">
        <x:v>retained</x:v>
      </x:c>
      <x:c r="F41" s="47" t="str">
        <x:v>Yes</x:v>
      </x:c>
      <x:c r="G41" s="47" t="str"/>
      <x:c r="H41" s="47" t="str">
        <x:v>0</x:v>
      </x:c>
      <x:c r="I41" s="47" t="str"/>
      <x:c r="J41" s="47" t="str">
        <x:v>0</x:v>
      </x:c>
      <x:c r="K41" s="47" t="str">
        <x:v>[]</x:v>
      </x:c>
    </x:row>
    <x:row r="42">
      <x:c r="A42" s="47" t="str">
        <x:v>Digital-41</x:v>
      </x:c>
      <x:c r="B42" s="47" t="str">
        <x:v>digital</x:v>
      </x:c>
      <x:c r="C42" s="47" t="str">
        <x:v>Google Forms workbook row 42; timestamp 2026-09-20 15:59:36.168000</x:v>
      </x:c>
      <x:c r="D42" s="47" t="str">
        <x:v>Yes</x:v>
      </x:c>
      <x:c r="E42" s="47" t="str">
        <x:v>retained</x:v>
      </x:c>
      <x:c r="F42" s="47" t="str">
        <x:v>Yes</x:v>
      </x:c>
      <x:c r="G42" s="47" t="str"/>
      <x:c r="H42" s="47" t="str">
        <x:v>0</x:v>
      </x:c>
      <x:c r="I42" s="47" t="str"/>
      <x:c r="J42" s="47" t="str">
        <x:v>0</x:v>
      </x:c>
      <x:c r="K42" s="47" t="str">
        <x:v>[]</x:v>
      </x:c>
    </x:row>
    <x:row r="43">
      <x:c r="A43" s="47" t="str">
        <x:v>Digital-42</x:v>
      </x:c>
      <x:c r="B43" s="47" t="str">
        <x:v>digital</x:v>
      </x:c>
      <x:c r="C43" s="47" t="str">
        <x:v>Google Forms workbook row 43; timestamp 2026-09-20 16:40:05.161000</x:v>
      </x:c>
      <x:c r="D43" s="47" t="str">
        <x:v>Yes</x:v>
      </x:c>
      <x:c r="E43" s="47" t="str">
        <x:v>retained</x:v>
      </x:c>
      <x:c r="F43" s="47" t="str">
        <x:v>Yes</x:v>
      </x:c>
      <x:c r="G43" s="47" t="str"/>
      <x:c r="H43" s="47" t="str">
        <x:v>0</x:v>
      </x:c>
      <x:c r="I43" s="47" t="str"/>
      <x:c r="J43" s="47" t="str">
        <x:v>0</x:v>
      </x:c>
      <x:c r="K43" s="47" t="str">
        <x:v>[]</x:v>
      </x:c>
    </x:row>
    <x:row r="44">
      <x:c r="A44" s="47" t="str">
        <x:v>Digital-43</x:v>
      </x:c>
      <x:c r="B44" s="47" t="str">
        <x:v>digital</x:v>
      </x:c>
      <x:c r="C44" s="47" t="str">
        <x:v>Google Forms workbook row 44; timestamp 2026-09-20 16:42:15.573000</x:v>
      </x:c>
      <x:c r="D44" s="47" t="str">
        <x:v>Yes</x:v>
      </x:c>
      <x:c r="E44" s="47" t="str">
        <x:v>retained</x:v>
      </x:c>
      <x:c r="F44" s="47" t="str">
        <x:v>Yes</x:v>
      </x:c>
      <x:c r="G44" s="47" t="str"/>
      <x:c r="H44" s="47" t="str">
        <x:v>0</x:v>
      </x:c>
      <x:c r="I44" s="47" t="str"/>
      <x:c r="J44" s="47" t="str">
        <x:v>0</x:v>
      </x:c>
      <x:c r="K44" s="47" t="str">
        <x:v>[]</x:v>
      </x:c>
    </x:row>
    <x:row r="45">
      <x:c r="A45" s="47" t="str">
        <x:v>Digital-44</x:v>
      </x:c>
      <x:c r="B45" s="47" t="str">
        <x:v>digital</x:v>
      </x:c>
      <x:c r="C45" s="47" t="str">
        <x:v>Google Forms workbook row 45; timestamp 2026-09-20 17:49:38.415000</x:v>
      </x:c>
      <x:c r="D45" s="47" t="str">
        <x:v>Yes</x:v>
      </x:c>
      <x:c r="E45" s="47" t="str">
        <x:v>retained</x:v>
      </x:c>
      <x:c r="F45" s="47" t="str">
        <x:v>Yes</x:v>
      </x:c>
      <x:c r="G45" s="47" t="str"/>
      <x:c r="H45" s="47" t="str">
        <x:v>0</x:v>
      </x:c>
      <x:c r="I45" s="47" t="str"/>
      <x:c r="J45" s="47" t="str">
        <x:v>0</x:v>
      </x:c>
      <x:c r="K45" s="47" t="str">
        <x:v>[]</x:v>
      </x:c>
    </x:row>
    <x:row r="46">
      <x:c r="A46" s="47" t="str">
        <x:v>Digital-45</x:v>
      </x:c>
      <x:c r="B46" s="47" t="str">
        <x:v>digital</x:v>
      </x:c>
      <x:c r="C46" s="47" t="str">
        <x:v>Google Forms workbook row 46; timestamp 2026-09-20 18:16:05.087000</x:v>
      </x:c>
      <x:c r="D46" s="47" t="str">
        <x:v>Yes</x:v>
      </x:c>
      <x:c r="E46" s="47" t="str">
        <x:v>retained</x:v>
      </x:c>
      <x:c r="F46" s="47" t="str">
        <x:v>Yes</x:v>
      </x:c>
      <x:c r="G46" s="47" t="str"/>
      <x:c r="H46" s="47" t="str">
        <x:v>0</x:v>
      </x:c>
      <x:c r="I46" s="47" t="str"/>
      <x:c r="J46" s="47" t="str">
        <x:v>0</x:v>
      </x:c>
      <x:c r="K46" s="47" t="str">
        <x:v>[]</x:v>
      </x:c>
    </x:row>
    <x:row r="47">
      <x:c r="A47" s="47" t="str">
        <x:v>Digital-46</x:v>
      </x:c>
      <x:c r="B47" s="47" t="str">
        <x:v>digital</x:v>
      </x:c>
      <x:c r="C47" s="47" t="str">
        <x:v>Google Forms workbook row 47; timestamp 2026-09-20 20:03:37.536000</x:v>
      </x:c>
      <x:c r="D47" s="47" t="str">
        <x:v>Yes</x:v>
      </x:c>
      <x:c r="E47" s="47" t="str">
        <x:v>retained</x:v>
      </x:c>
      <x:c r="F47" s="47" t="str">
        <x:v>Yes</x:v>
      </x:c>
      <x:c r="G47" s="47" t="str"/>
      <x:c r="H47" s="47" t="str">
        <x:v>0</x:v>
      </x:c>
      <x:c r="I47" s="47" t="str"/>
      <x:c r="J47" s="47" t="str">
        <x:v>0</x:v>
      </x:c>
      <x:c r="K47" s="47" t="str">
        <x:v>[]</x:v>
      </x:c>
    </x:row>
    <x:row r="48">
      <x:c r="A48" s="47" t="str">
        <x:v>Digital-47</x:v>
      </x:c>
      <x:c r="B48" s="47" t="str">
        <x:v>digital</x:v>
      </x:c>
      <x:c r="C48" s="47" t="str">
        <x:v>Google Forms workbook row 48; timestamp 2026-09-20 20:11:53.849000</x:v>
      </x:c>
      <x:c r="D48" s="47" t="str">
        <x:v>Yes</x:v>
      </x:c>
      <x:c r="E48" s="47" t="str">
        <x:v>retained</x:v>
      </x:c>
      <x:c r="F48" s="47" t="str">
        <x:v>Yes</x:v>
      </x:c>
      <x:c r="G48" s="47" t="str"/>
      <x:c r="H48" s="47" t="str">
        <x:v>0</x:v>
      </x:c>
      <x:c r="I48" s="47" t="str"/>
      <x:c r="J48" s="47" t="str">
        <x:v>0</x:v>
      </x:c>
      <x:c r="K48" s="47" t="str">
        <x:v>[]</x:v>
      </x:c>
    </x:row>
    <x:row r="49">
      <x:c r="A49" s="47" t="str">
        <x:v>Digital-48</x:v>
      </x:c>
      <x:c r="B49" s="47" t="str">
        <x:v>digital</x:v>
      </x:c>
      <x:c r="C49" s="47" t="str">
        <x:v>Google Forms workbook row 49; timestamp 2026-09-20 20:23:23.890000</x:v>
      </x:c>
      <x:c r="D49" s="47" t="str">
        <x:v>No</x:v>
      </x:c>
      <x:c r="E49" s="47" t="str">
        <x:v>excluded</x:v>
      </x:c>
      <x:c r="F49" s="47" t="str">
        <x:v>No</x:v>
      </x:c>
      <x:c r="G49" s="47" t="str">
        <x:v>Q1 eligibility response: No</x:v>
      </x:c>
      <x:c r="H49" s="47" t="str">
        <x:v>1</x:v>
      </x:c>
      <x:c r="I49" s="47" t="str">
        <x:v>ineligible_or_blank_Q1</x:v>
      </x:c>
      <x:c r="J49" s="47" t="str">
        <x:v>0</x:v>
      </x:c>
      <x:c r="K49" s="47" t="str">
        <x:v>[]</x:v>
      </x:c>
    </x:row>
    <x:row r="50">
      <x:c r="A50" s="47" t="str">
        <x:v>Digital-49</x:v>
      </x:c>
      <x:c r="B50" s="47" t="str">
        <x:v>digital</x:v>
      </x:c>
      <x:c r="C50" s="47" t="str">
        <x:v>Google Forms workbook row 50; timestamp 2026-09-20 20:59:28.069000</x:v>
      </x:c>
      <x:c r="D50" s="47" t="str">
        <x:v>No</x:v>
      </x:c>
      <x:c r="E50" s="47" t="str">
        <x:v>excluded</x:v>
      </x:c>
      <x:c r="F50" s="47" t="str">
        <x:v>No</x:v>
      </x:c>
      <x:c r="G50" s="47" t="str">
        <x:v>Q1 eligibility response: No</x:v>
      </x:c>
      <x:c r="H50" s="47" t="str">
        <x:v>1</x:v>
      </x:c>
      <x:c r="I50" s="47" t="str">
        <x:v>ineligible_or_blank_Q1</x:v>
      </x:c>
      <x:c r="J50" s="47" t="str">
        <x:v>0</x:v>
      </x:c>
      <x:c r="K50" s="47" t="str">
        <x:v>[]</x:v>
      </x:c>
    </x:row>
    <x:row r="51">
      <x:c r="A51" s="47" t="str">
        <x:v>Digital-50</x:v>
      </x:c>
      <x:c r="B51" s="47" t="str">
        <x:v>digital</x:v>
      </x:c>
      <x:c r="C51" s="47" t="str">
        <x:v>Google Forms workbook row 51; timestamp 2026-09-20 21:08:23.956000</x:v>
      </x:c>
      <x:c r="D51" s="47" t="str">
        <x:v>Yes</x:v>
      </x:c>
      <x:c r="E51" s="47" t="str">
        <x:v>retained</x:v>
      </x:c>
      <x:c r="F51" s="47" t="str">
        <x:v>Yes</x:v>
      </x:c>
      <x:c r="G51" s="47" t="str"/>
      <x:c r="H51" s="47" t="str">
        <x:v>0</x:v>
      </x:c>
      <x:c r="I51" s="47" t="str"/>
      <x:c r="J51" s="47" t="str">
        <x:v>0</x:v>
      </x:c>
      <x:c r="K51" s="47" t="str">
        <x:v>[]</x:v>
      </x:c>
    </x:row>
    <x:row r="52">
      <x:c r="A52" s="47" t="str">
        <x:v>Digital-51</x:v>
      </x:c>
      <x:c r="B52" s="47" t="str">
        <x:v>digital</x:v>
      </x:c>
      <x:c r="C52" s="47" t="str">
        <x:v>Google Forms workbook row 52; timestamp 2026-09-20 21:14:54.132000</x:v>
      </x:c>
      <x:c r="D52" s="47" t="str">
        <x:v>Yes</x:v>
      </x:c>
      <x:c r="E52" s="47" t="str">
        <x:v>retained</x:v>
      </x:c>
      <x:c r="F52" s="47" t="str">
        <x:v>Yes</x:v>
      </x:c>
      <x:c r="G52" s="47" t="str"/>
      <x:c r="H52" s="47" t="str">
        <x:v>0</x:v>
      </x:c>
      <x:c r="I52" s="47" t="str"/>
      <x:c r="J52" s="47" t="str">
        <x:v>0</x:v>
      </x:c>
      <x:c r="K52" s="47" t="str">
        <x:v>[]</x:v>
      </x:c>
    </x:row>
    <x:row r="53">
      <x:c r="A53" s="47" t="str">
        <x:v>Digital-52</x:v>
      </x:c>
      <x:c r="B53" s="47" t="str">
        <x:v>digital</x:v>
      </x:c>
      <x:c r="C53" s="47" t="str">
        <x:v>Google Forms workbook row 53; timestamp 2026-09-20 21:17:31.355000</x:v>
      </x:c>
      <x:c r="D53" s="47" t="str">
        <x:v>Yes</x:v>
      </x:c>
      <x:c r="E53" s="47" t="str">
        <x:v>retained</x:v>
      </x:c>
      <x:c r="F53" s="47" t="str">
        <x:v>Yes</x:v>
      </x:c>
      <x:c r="G53" s="47" t="str"/>
      <x:c r="H53" s="47" t="str">
        <x:v>0</x:v>
      </x:c>
      <x:c r="I53" s="47" t="str"/>
      <x:c r="J53" s="47" t="str">
        <x:v>0</x:v>
      </x:c>
      <x:c r="K53" s="47" t="str">
        <x:v>[]</x:v>
      </x:c>
    </x:row>
    <x:row r="54">
      <x:c r="A54" s="47" t="str">
        <x:v>Digital-53</x:v>
      </x:c>
      <x:c r="B54" s="47" t="str">
        <x:v>digital</x:v>
      </x:c>
      <x:c r="C54" s="47" t="str">
        <x:v>Google Forms workbook row 54; timestamp 2026-09-20 21:20:52.416000</x:v>
      </x:c>
      <x:c r="D54" s="47" t="str">
        <x:v>Yes</x:v>
      </x:c>
      <x:c r="E54" s="47" t="str">
        <x:v>retained</x:v>
      </x:c>
      <x:c r="F54" s="47" t="str">
        <x:v>Yes</x:v>
      </x:c>
      <x:c r="G54" s="47" t="str"/>
      <x:c r="H54" s="47" t="str">
        <x:v>0</x:v>
      </x:c>
      <x:c r="I54" s="47" t="str"/>
      <x:c r="J54" s="47" t="str">
        <x:v>0</x:v>
      </x:c>
      <x:c r="K54" s="47" t="str">
        <x:v>[]</x:v>
      </x:c>
    </x:row>
    <x:row r="55">
      <x:c r="A55" s="47" t="str">
        <x:v>Digital-54</x:v>
      </x:c>
      <x:c r="B55" s="47" t="str">
        <x:v>digital</x:v>
      </x:c>
      <x:c r="C55" s="47" t="str">
        <x:v>Google Forms workbook row 55; timestamp 2026-09-20 21:28:31.299000</x:v>
      </x:c>
      <x:c r="D55" s="47" t="str">
        <x:v>No</x:v>
      </x:c>
      <x:c r="E55" s="47" t="str">
        <x:v>excluded</x:v>
      </x:c>
      <x:c r="F55" s="47" t="str">
        <x:v>No</x:v>
      </x:c>
      <x:c r="G55" s="47" t="str">
        <x:v>Q1 eligibility response: No</x:v>
      </x:c>
      <x:c r="H55" s="47" t="str">
        <x:v>1</x:v>
      </x:c>
      <x:c r="I55" s="47" t="str">
        <x:v>ineligible_or_blank_Q1</x:v>
      </x:c>
      <x:c r="J55" s="47" t="str">
        <x:v>0</x:v>
      </x:c>
      <x:c r="K55" s="47" t="str">
        <x:v>[]</x:v>
      </x:c>
    </x:row>
    <x:row r="56">
      <x:c r="A56" s="47" t="str">
        <x:v>Digital-55</x:v>
      </x:c>
      <x:c r="B56" s="47" t="str">
        <x:v>digital</x:v>
      </x:c>
      <x:c r="C56" s="47" t="str">
        <x:v>Google Forms workbook row 56; timestamp 2026-09-20 21:39:38.589000</x:v>
      </x:c>
      <x:c r="D56" s="47" t="str">
        <x:v>No</x:v>
      </x:c>
      <x:c r="E56" s="47" t="str">
        <x:v>excluded</x:v>
      </x:c>
      <x:c r="F56" s="47" t="str">
        <x:v>No</x:v>
      </x:c>
      <x:c r="G56" s="47" t="str">
        <x:v>Q1 eligibility response: No</x:v>
      </x:c>
      <x:c r="H56" s="47" t="str">
        <x:v>1</x:v>
      </x:c>
      <x:c r="I56" s="47" t="str">
        <x:v>ineligible_or_blank_Q1</x:v>
      </x:c>
      <x:c r="J56" s="47" t="str">
        <x:v>0</x:v>
      </x:c>
      <x:c r="K56" s="47" t="str">
        <x:v>[]</x:v>
      </x:c>
    </x:row>
    <x:row r="57">
      <x:c r="A57" s="47" t="str">
        <x:v>Digital-56</x:v>
      </x:c>
      <x:c r="B57" s="47" t="str">
        <x:v>digital</x:v>
      </x:c>
      <x:c r="C57" s="47" t="str">
        <x:v>Google Forms workbook row 57; timestamp 2026-09-20 21:41:41.203000</x:v>
      </x:c>
      <x:c r="D57" s="47" t="str">
        <x:v>Yes</x:v>
      </x:c>
      <x:c r="E57" s="47" t="str">
        <x:v>retained</x:v>
      </x:c>
      <x:c r="F57" s="47" t="str">
        <x:v>Yes</x:v>
      </x:c>
      <x:c r="G57" s="47" t="str"/>
      <x:c r="H57" s="47" t="str">
        <x:v>0</x:v>
      </x:c>
      <x:c r="I57" s="47" t="str"/>
      <x:c r="J57" s="47" t="str">
        <x:v>0</x:v>
      </x:c>
      <x:c r="K57" s="47" t="str">
        <x:v>[]</x:v>
      </x:c>
    </x:row>
    <x:row r="58">
      <x:c r="A58" s="47" t="str">
        <x:v>Digital-57</x:v>
      </x:c>
      <x:c r="B58" s="47" t="str">
        <x:v>digital</x:v>
      </x:c>
      <x:c r="C58" s="47" t="str">
        <x:v>Google Forms workbook row 58; timestamp 2026-09-20 21:51:07.642000</x:v>
      </x:c>
      <x:c r="D58" s="47" t="str">
        <x:v>No</x:v>
      </x:c>
      <x:c r="E58" s="47" t="str">
        <x:v>excluded</x:v>
      </x:c>
      <x:c r="F58" s="47" t="str">
        <x:v>No</x:v>
      </x:c>
      <x:c r="G58" s="47" t="str">
        <x:v>Q1 eligibility response: No</x:v>
      </x:c>
      <x:c r="H58" s="47" t="str">
        <x:v>1</x:v>
      </x:c>
      <x:c r="I58" s="47" t="str">
        <x:v>ineligible_or_blank_Q1</x:v>
      </x:c>
      <x:c r="J58" s="47" t="str">
        <x:v>0</x:v>
      </x:c>
      <x:c r="K58" s="47" t="str">
        <x:v>[]</x:v>
      </x:c>
    </x:row>
    <x:row r="59">
      <x:c r="A59" s="47" t="str">
        <x:v>Digital-58</x:v>
      </x:c>
      <x:c r="B59" s="47" t="str">
        <x:v>digital</x:v>
      </x:c>
      <x:c r="C59" s="47" t="str">
        <x:v>Google Forms workbook row 59; timestamp 2026-09-20 21:59:44.650000</x:v>
      </x:c>
      <x:c r="D59" s="47" t="str">
        <x:v>Yes</x:v>
      </x:c>
      <x:c r="E59" s="47" t="str">
        <x:v>retained</x:v>
      </x:c>
      <x:c r="F59" s="47" t="str">
        <x:v>Yes</x:v>
      </x:c>
      <x:c r="G59" s="47" t="str"/>
      <x:c r="H59" s="47" t="str">
        <x:v>0</x:v>
      </x:c>
      <x:c r="I59" s="47" t="str"/>
      <x:c r="J59" s="47" t="str">
        <x:v>0</x:v>
      </x:c>
      <x:c r="K59" s="47" t="str">
        <x:v>[]</x:v>
      </x:c>
    </x:row>
    <x:row r="60">
      <x:c r="A60" s="47" t="str">
        <x:v>Digital-59</x:v>
      </x:c>
      <x:c r="B60" s="47" t="str">
        <x:v>digital</x:v>
      </x:c>
      <x:c r="C60" s="47" t="str">
        <x:v>Google Forms workbook row 60; timestamp 2026-09-20 22:04:30.967000</x:v>
      </x:c>
      <x:c r="D60" s="47" t="str">
        <x:v>No</x:v>
      </x:c>
      <x:c r="E60" s="47" t="str">
        <x:v>excluded</x:v>
      </x:c>
      <x:c r="F60" s="47" t="str">
        <x:v>No</x:v>
      </x:c>
      <x:c r="G60" s="47" t="str">
        <x:v>Q1 eligibility response: No</x:v>
      </x:c>
      <x:c r="H60" s="47" t="str">
        <x:v>1</x:v>
      </x:c>
      <x:c r="I60" s="47" t="str">
        <x:v>ineligible_or_blank_Q1</x:v>
      </x:c>
      <x:c r="J60" s="47" t="str">
        <x:v>0</x:v>
      </x:c>
      <x:c r="K60" s="47" t="str">
        <x:v>[]</x:v>
      </x:c>
    </x:row>
    <x:row r="61">
      <x:c r="A61" s="47" t="str">
        <x:v>Digital-60</x:v>
      </x:c>
      <x:c r="B61" s="47" t="str">
        <x:v>digital</x:v>
      </x:c>
      <x:c r="C61" s="47" t="str">
        <x:v>Google Forms workbook row 61; timestamp 2026-09-21 06:22:41.480000</x:v>
      </x:c>
      <x:c r="D61" s="47" t="str">
        <x:v>Yes</x:v>
      </x:c>
      <x:c r="E61" s="47" t="str">
        <x:v>retained</x:v>
      </x:c>
      <x:c r="F61" s="47" t="str">
        <x:v>Yes</x:v>
      </x:c>
      <x:c r="G61" s="47" t="str"/>
      <x:c r="H61" s="47" t="str">
        <x:v>0</x:v>
      </x:c>
      <x:c r="I61" s="47" t="str"/>
      <x:c r="J61" s="47" t="str">
        <x:v>0</x:v>
      </x:c>
      <x:c r="K61" s="47" t="str">
        <x:v>[]</x:v>
      </x:c>
    </x:row>
    <x:row r="62">
      <x:c r="A62" s="47" t="str">
        <x:v>Digital-61</x:v>
      </x:c>
      <x:c r="B62" s="47" t="str">
        <x:v>digital</x:v>
      </x:c>
      <x:c r="C62" s="47" t="str">
        <x:v>Google Forms workbook row 62; timestamp 2026-09-21 08:49:48.097000</x:v>
      </x:c>
      <x:c r="D62" s="47" t="str">
        <x:v>Yes</x:v>
      </x:c>
      <x:c r="E62" s="47" t="str">
        <x:v>retained</x:v>
      </x:c>
      <x:c r="F62" s="47" t="str">
        <x:v>Yes</x:v>
      </x:c>
      <x:c r="G62" s="47" t="str"/>
      <x:c r="H62" s="47" t="str">
        <x:v>0</x:v>
      </x:c>
      <x:c r="I62" s="47" t="str"/>
      <x:c r="J62" s="47" t="str">
        <x:v>0</x:v>
      </x:c>
      <x:c r="K62" s="47" t="str">
        <x:v>[]</x:v>
      </x:c>
    </x:row>
    <x:row r="63">
      <x:c r="A63" s="47" t="str">
        <x:v>Digital-62</x:v>
      </x:c>
      <x:c r="B63" s="47" t="str">
        <x:v>digital</x:v>
      </x:c>
      <x:c r="C63" s="47" t="str">
        <x:v>Google Forms workbook row 63; timestamp 2026-09-21 10:51:08.259000</x:v>
      </x:c>
      <x:c r="D63" s="47" t="str">
        <x:v>Yes</x:v>
      </x:c>
      <x:c r="E63" s="47" t="str">
        <x:v>retained</x:v>
      </x:c>
      <x:c r="F63" s="47" t="str">
        <x:v>Yes</x:v>
      </x:c>
      <x:c r="G63" s="47" t="str"/>
      <x:c r="H63" s="47" t="str">
        <x:v>0</x:v>
      </x:c>
      <x:c r="I63" s="47" t="str"/>
      <x:c r="J63" s="47" t="str">
        <x:v>0</x:v>
      </x:c>
      <x:c r="K63" s="47" t="str">
        <x:v>[]</x:v>
      </x:c>
    </x:row>
    <x:row r="64">
      <x:c r="A64" s="47" t="str">
        <x:v>Manual-01</x:v>
      </x:c>
      <x:c r="B64" s="47" t="str">
        <x:v>manual</x:v>
      </x:c>
      <x:c r="C64" s="47" t="str">
        <x:v>QUESTIONNAIRE_SCAN.pdf pp. 1–2</x:v>
      </x:c>
      <x:c r="D64" s="47" t="str">
        <x:v>Yes</x:v>
      </x:c>
      <x:c r="E64" s="47" t="str">
        <x:v>retained</x:v>
      </x:c>
      <x:c r="F64" s="47" t="str">
        <x:v>Yes</x:v>
      </x:c>
      <x:c r="G64" s="47" t="str"/>
      <x:c r="H64" s="47" t="str">
        <x:v>0</x:v>
      </x:c>
      <x:c r="I64" s="47" t="str"/>
      <x:c r="J64" s="47" t="str">
        <x:v>0</x:v>
      </x:c>
      <x:c r="K64" s="47" t="str">
        <x:v>[]</x:v>
      </x:c>
    </x:row>
    <x:row r="65">
      <x:c r="A65" s="47" t="str">
        <x:v>Manual-02</x:v>
      </x:c>
      <x:c r="B65" s="47" t="str">
        <x:v>manual</x:v>
      </x:c>
      <x:c r="C65" s="47" t="str">
        <x:v>QUESTIONNAIRE_SCAN.pdf pp. 3–4</x:v>
      </x:c>
      <x:c r="D65" s="47" t="str">
        <x:v>Yes</x:v>
      </x:c>
      <x:c r="E65" s="47" t="str">
        <x:v>retained</x:v>
      </x:c>
      <x:c r="F65" s="47" t="str">
        <x:v>Yes</x:v>
      </x:c>
      <x:c r="G65" s="47" t="str"/>
      <x:c r="H65" s="47" t="str">
        <x:v>0</x:v>
      </x:c>
      <x:c r="I65" s="47" t="str"/>
      <x:c r="J65" s="47" t="str">
        <x:v>0</x:v>
      </x:c>
      <x:c r="K65" s="47" t="str">
        <x:v>[]</x:v>
      </x:c>
    </x:row>
    <x:row r="66">
      <x:c r="A66" s="47" t="str">
        <x:v>Manual-03</x:v>
      </x:c>
      <x:c r="B66" s="47" t="str">
        <x:v>manual</x:v>
      </x:c>
      <x:c r="C66" s="47" t="str">
        <x:v>QUESTIONNAIRE_SCAN.pdf pp. 5–6</x:v>
      </x:c>
      <x:c r="D66" s="47" t="str">
        <x:v>Yes</x:v>
      </x:c>
      <x:c r="E66" s="47" t="str">
        <x:v>retained</x:v>
      </x:c>
      <x:c r="F66" s="47" t="str">
        <x:v>Yes</x:v>
      </x:c>
      <x:c r="G66" s="47" t="str"/>
      <x:c r="H66" s="47" t="str">
        <x:v>0</x:v>
      </x:c>
      <x:c r="I66" s="47" t="str"/>
      <x:c r="J66" s="47" t="str">
        <x:v>0</x:v>
      </x:c>
      <x:c r="K66" s="47" t="str">
        <x:v>[]</x:v>
      </x:c>
    </x:row>
    <x:row r="67">
      <x:c r="A67" s="47" t="str">
        <x:v>Manual-04</x:v>
      </x:c>
      <x:c r="B67" s="47" t="str">
        <x:v>manual</x:v>
      </x:c>
      <x:c r="C67" s="47" t="str">
        <x:v>QUESTIONNAIRE_SCAN.pdf pp. 7–8</x:v>
      </x:c>
      <x:c r="D67" s="47" t="str">
        <x:v>Yes</x:v>
      </x:c>
      <x:c r="E67" s="47" t="str">
        <x:v>retained</x:v>
      </x:c>
      <x:c r="F67" s="47" t="str">
        <x:v>Yes</x:v>
      </x:c>
      <x:c r="G67" s="47" t="str"/>
      <x:c r="H67" s="47" t="str">
        <x:v>0</x:v>
      </x:c>
      <x:c r="I67" s="47" t="str"/>
      <x:c r="J67" s="47" t="str">
        <x:v>0</x:v>
      </x:c>
      <x:c r="K67" s="47" t="str">
        <x:v>[]</x:v>
      </x:c>
    </x:row>
    <x:row r="68">
      <x:c r="A68" s="47" t="str">
        <x:v>Manual-05</x:v>
      </x:c>
      <x:c r="B68" s="47" t="str">
        <x:v>manual</x:v>
      </x:c>
      <x:c r="C68" s="47" t="str">
        <x:v>QUESTIONNAIRE_SCAN.pdf pp. 9–10</x:v>
      </x:c>
      <x:c r="D68" s="47" t="str">
        <x:v>No</x:v>
      </x:c>
      <x:c r="E68" s="47" t="str">
        <x:v>excluded</x:v>
      </x:c>
      <x:c r="F68" s="47" t="str">
        <x:v>No</x:v>
      </x:c>
      <x:c r="G68" s="47" t="str">
        <x:v>ineligible_or_blank_eligibility</x:v>
      </x:c>
      <x:c r="H68" s="47" t="str">
        <x:v>0</x:v>
      </x:c>
      <x:c r="I68" s="47" t="str"/>
      <x:c r="J68" s="47" t="str">
        <x:v>0</x:v>
      </x:c>
      <x:c r="K68" s="47" t="str">
        <x:v>[]</x:v>
      </x:c>
    </x:row>
    <x:row r="69">
      <x:c r="A69" s="47" t="str">
        <x:v>Manual-06</x:v>
      </x:c>
      <x:c r="B69" s="47" t="str">
        <x:v>manual</x:v>
      </x:c>
      <x:c r="C69" s="47" t="str">
        <x:v>QUESTIONNAIRE_SCAN.pdf pp. 11–12</x:v>
      </x:c>
      <x:c r="D69" s="47" t="str">
        <x:v>Yes</x:v>
      </x:c>
      <x:c r="E69" s="47" t="str">
        <x:v>retained</x:v>
      </x:c>
      <x:c r="F69" s="47" t="str">
        <x:v>Yes</x:v>
      </x:c>
      <x:c r="G69" s="47" t="str"/>
      <x:c r="H69" s="47" t="str">
        <x:v>0</x:v>
      </x:c>
      <x:c r="I69" s="47" t="str"/>
      <x:c r="J69" s="47" t="str">
        <x:v>0</x:v>
      </x:c>
      <x:c r="K69" s="47" t="str">
        <x:v>[]</x:v>
      </x:c>
    </x:row>
    <x:row r="70">
      <x:c r="A70" s="47" t="str">
        <x:v>Manual-07</x:v>
      </x:c>
      <x:c r="B70" s="47" t="str">
        <x:v>manual</x:v>
      </x:c>
      <x:c r="C70" s="47" t="str">
        <x:v>QUESTIONNAIRE_SCAN.pdf pp. 13–14</x:v>
      </x:c>
      <x:c r="D70" s="47" t="str">
        <x:v>Yes</x:v>
      </x:c>
      <x:c r="E70" s="47" t="str">
        <x:v>retained</x:v>
      </x:c>
      <x:c r="F70" s="47" t="str">
        <x:v>Yes</x:v>
      </x:c>
      <x:c r="G70" s="47" t="str"/>
      <x:c r="H70" s="47" t="str">
        <x:v>0</x:v>
      </x:c>
      <x:c r="I70" s="47" t="str"/>
      <x:c r="J70" s="47" t="str">
        <x:v>0</x:v>
      </x:c>
      <x:c r="K70" s="47" t="str">
        <x:v>[]</x:v>
      </x:c>
    </x:row>
    <x:row r="71">
      <x:c r="A71" s="47" t="str">
        <x:v>Manual-08</x:v>
      </x:c>
      <x:c r="B71" s="47" t="str">
        <x:v>manual</x:v>
      </x:c>
      <x:c r="C71" s="47" t="str">
        <x:v>QUESTIONNAIRE_SCAN.pdf pp. 15–16</x:v>
      </x:c>
      <x:c r="D71" s="47" t="str">
        <x:v>Yes</x:v>
      </x:c>
      <x:c r="E71" s="47" t="str">
        <x:v>retained</x:v>
      </x:c>
      <x:c r="F71" s="47" t="str">
        <x:v>Yes</x:v>
      </x:c>
      <x:c r="G71" s="47" t="str"/>
      <x:c r="H71" s="47" t="str">
        <x:v>0</x:v>
      </x:c>
      <x:c r="I71" s="47" t="str"/>
      <x:c r="J71" s="47" t="str">
        <x:v>0</x:v>
      </x:c>
      <x:c r="K71" s="47" t="str">
        <x:v>[]</x:v>
      </x:c>
    </x:row>
    <x:row r="72">
      <x:c r="A72" s="47" t="str">
        <x:v>Manual-09</x:v>
      </x:c>
      <x:c r="B72" s="47" t="str">
        <x:v>manual</x:v>
      </x:c>
      <x:c r="C72" s="47" t="str">
        <x:v>QUESTIONNAIRE_SCAN.pdf pp. 17–18</x:v>
      </x:c>
      <x:c r="D72" s="47" t="str">
        <x:v>Yes</x:v>
      </x:c>
      <x:c r="E72" s="47" t="str">
        <x:v>retained</x:v>
      </x:c>
      <x:c r="F72" s="47" t="str">
        <x:v>Yes</x:v>
      </x:c>
      <x:c r="G72" s="47" t="str"/>
      <x:c r="H72" s="47" t="str">
        <x:v>0</x:v>
      </x:c>
      <x:c r="I72" s="47" t="str"/>
      <x:c r="J72" s="47" t="str">
        <x:v>0</x:v>
      </x:c>
      <x:c r="K72" s="47" t="str">
        <x:v>[]</x:v>
      </x:c>
    </x:row>
    <x:row r="73">
      <x:c r="A73" s="47" t="str">
        <x:v>Manual-10</x:v>
      </x:c>
      <x:c r="B73" s="47" t="str">
        <x:v>manual</x:v>
      </x:c>
      <x:c r="C73" s="47" t="str">
        <x:v>QUESTIONNAIRE_SCAN.pdf pp. 19–20</x:v>
      </x:c>
      <x:c r="D73" s="47" t="str">
        <x:v>Yes</x:v>
      </x:c>
      <x:c r="E73" s="47" t="str">
        <x:v>retained</x:v>
      </x:c>
      <x:c r="F73" s="47" t="str">
        <x:v>Yes</x:v>
      </x:c>
      <x:c r="G73" s="47" t="str"/>
      <x:c r="H73" s="47" t="str">
        <x:v>0</x:v>
      </x:c>
      <x:c r="I73" s="47" t="str"/>
      <x:c r="J73" s="47" t="str">
        <x:v>0</x:v>
      </x:c>
      <x:c r="K73" s="47" t="str">
        <x:v>[]</x:v>
      </x:c>
    </x:row>
    <x:row r="74">
      <x:c r="A74" s="47" t="str">
        <x:v>Manual-11</x:v>
      </x:c>
      <x:c r="B74" s="47" t="str">
        <x:v>manual</x:v>
      </x:c>
      <x:c r="C74" s="47" t="str">
        <x:v>QUESTIONNAIRE_SCAN.pdf pp. 21–22</x:v>
      </x:c>
      <x:c r="D74" s="47" t="str">
        <x:v>Yes</x:v>
      </x:c>
      <x:c r="E74" s="47" t="str">
        <x:v>retained</x:v>
      </x:c>
      <x:c r="F74" s="47" t="str">
        <x:v>Yes</x:v>
      </x:c>
      <x:c r="G74" s="47" t="str"/>
      <x:c r="H74" s="47" t="str">
        <x:v>0</x:v>
      </x:c>
      <x:c r="I74" s="47" t="str"/>
      <x:c r="J74" s="47" t="str">
        <x:v>0</x:v>
      </x:c>
      <x:c r="K74" s="47" t="str">
        <x:v>[]</x:v>
      </x:c>
    </x:row>
    <x:row r="75">
      <x:c r="A75" s="47" t="str">
        <x:v>Manual-12</x:v>
      </x:c>
      <x:c r="B75" s="47" t="str">
        <x:v>manual</x:v>
      </x:c>
      <x:c r="C75" s="47" t="str">
        <x:v>QUESTIONNAIRE_SCAN.pdf pp. 23–24</x:v>
      </x:c>
      <x:c r="D75" s="47" t="str">
        <x:v>Yes</x:v>
      </x:c>
      <x:c r="E75" s="47" t="str">
        <x:v>retained</x:v>
      </x:c>
      <x:c r="F75" s="47" t="str">
        <x:v>Yes</x:v>
      </x:c>
      <x:c r="G75" s="47" t="str"/>
      <x:c r="H75" s="47" t="str">
        <x:v>0</x:v>
      </x:c>
      <x:c r="I75" s="47" t="str"/>
      <x:c r="J75" s="47" t="str">
        <x:v>0</x:v>
      </x:c>
      <x:c r="K75" s="47" t="str">
        <x:v>[]</x:v>
      </x:c>
    </x:row>
    <x:row r="76">
      <x:c r="A76" s="47" t="str">
        <x:v>Manual-13</x:v>
      </x:c>
      <x:c r="B76" s="47" t="str">
        <x:v>manual</x:v>
      </x:c>
      <x:c r="C76" s="47" t="str">
        <x:v>QUESTIONNAIRE_SCAN.pdf pp. 25–26</x:v>
      </x:c>
      <x:c r="D76" s="47" t="str">
        <x:v>Yes</x:v>
      </x:c>
      <x:c r="E76" s="47" t="str">
        <x:v>retained</x:v>
      </x:c>
      <x:c r="F76" s="47" t="str">
        <x:v>Yes</x:v>
      </x:c>
      <x:c r="G76" s="47" t="str"/>
      <x:c r="H76" s="47" t="str">
        <x:v>0</x:v>
      </x:c>
      <x:c r="I76" s="47" t="str"/>
      <x:c r="J76" s="47" t="str">
        <x:v>0</x:v>
      </x:c>
      <x:c r="K76" s="47" t="str">
        <x:v>[]</x:v>
      </x:c>
    </x:row>
    <x:row r="77">
      <x:c r="A77" s="47" t="str">
        <x:v>Manual-14</x:v>
      </x:c>
      <x:c r="B77" s="47" t="str">
        <x:v>manual</x:v>
      </x:c>
      <x:c r="C77" s="47" t="str">
        <x:v>QUESTIONNAIRE_SCAN.pdf pp. 27–28</x:v>
      </x:c>
      <x:c r="D77" s="47" t="str">
        <x:v>Yes</x:v>
      </x:c>
      <x:c r="E77" s="47" t="str">
        <x:v>retained</x:v>
      </x:c>
      <x:c r="F77" s="47" t="str">
        <x:v>Yes</x:v>
      </x:c>
      <x:c r="G77" s="47" t="str"/>
      <x:c r="H77" s="47" t="str">
        <x:v>0</x:v>
      </x:c>
      <x:c r="I77" s="47" t="str"/>
      <x:c r="J77" s="47" t="str">
        <x:v>0</x:v>
      </x:c>
      <x:c r="K77" s="47" t="str">
        <x:v>[]</x:v>
      </x:c>
    </x:row>
    <x:row r="78">
      <x:c r="A78" s="47" t="str">
        <x:v>Manual-15</x:v>
      </x:c>
      <x:c r="B78" s="47" t="str">
        <x:v>manual</x:v>
      </x:c>
      <x:c r="C78" s="47" t="str">
        <x:v>QUESTIONNAIRE_SCAN.pdf pp. 29–30</x:v>
      </x:c>
      <x:c r="D78" s="47" t="str">
        <x:v>Yes</x:v>
      </x:c>
      <x:c r="E78" s="47" t="str">
        <x:v>retained</x:v>
      </x:c>
      <x:c r="F78" s="47" t="str">
        <x:v>Yes</x:v>
      </x:c>
      <x:c r="G78" s="47" t="str"/>
      <x:c r="H78" s="47" t="str">
        <x:v>0</x:v>
      </x:c>
      <x:c r="I78" s="47" t="str"/>
      <x:c r="J78" s="47" t="str">
        <x:v>0</x:v>
      </x:c>
      <x:c r="K78" s="47" t="str">
        <x:v>[]</x:v>
      </x:c>
    </x:row>
    <x:row r="79">
      <x:c r="A79" s="47" t="str">
        <x:v>Manual-16</x:v>
      </x:c>
      <x:c r="B79" s="47" t="str">
        <x:v>manual</x:v>
      </x:c>
      <x:c r="C79" s="47" t="str">
        <x:v>QUESTIONNAIRE_SCAN.pdf pp. 31–32</x:v>
      </x:c>
      <x:c r="D79" s="47" t="str">
        <x:v>Yes</x:v>
      </x:c>
      <x:c r="E79" s="47" t="str">
        <x:v>retained</x:v>
      </x:c>
      <x:c r="F79" s="47" t="str">
        <x:v>Yes</x:v>
      </x:c>
      <x:c r="G79" s="47" t="str"/>
      <x:c r="H79" s="47" t="str">
        <x:v>0</x:v>
      </x:c>
      <x:c r="I79" s="47" t="str"/>
      <x:c r="J79" s="47" t="str">
        <x:v>0</x:v>
      </x:c>
      <x:c r="K79" s="47" t="str">
        <x:v>[]</x:v>
      </x:c>
    </x:row>
    <x:row r="80">
      <x:c r="A80" s="47" t="str">
        <x:v>Manual-17</x:v>
      </x:c>
      <x:c r="B80" s="47" t="str">
        <x:v>manual</x:v>
      </x:c>
      <x:c r="C80" s="47" t="str">
        <x:v>QUESTIONNAIRE_SCAN.pdf pp. 33–34</x:v>
      </x:c>
      <x:c r="D80" s="47" t="str">
        <x:v>Yes</x:v>
      </x:c>
      <x:c r="E80" s="47" t="str">
        <x:v>retained</x:v>
      </x:c>
      <x:c r="F80" s="47" t="str">
        <x:v>Yes</x:v>
      </x:c>
      <x:c r="G80" s="47" t="str"/>
      <x:c r="H80" s="47" t="str">
        <x:v>0</x:v>
      </x:c>
      <x:c r="I80" s="47" t="str"/>
      <x:c r="J80" s="47" t="str">
        <x:v>0</x:v>
      </x:c>
      <x:c r="K80" s="47" t="str">
        <x:v>[]</x:v>
      </x:c>
    </x:row>
    <x:row r="81">
      <x:c r="A81" s="47" t="str">
        <x:v>Manual-18</x:v>
      </x:c>
      <x:c r="B81" s="47" t="str">
        <x:v>manual</x:v>
      </x:c>
      <x:c r="C81" s="47" t="str">
        <x:v>QUESTIONNAIRE_SCAN.pdf pp. 35–36</x:v>
      </x:c>
      <x:c r="D81" s="47" t="str"/>
      <x:c r="E81" s="47" t="str">
        <x:v>excluded</x:v>
      </x:c>
      <x:c r="F81" s="47" t="str">
        <x:v>No</x:v>
      </x:c>
      <x:c r="G81" s="47" t="str">
        <x:v>ineligible_or_blank_eligibility</x:v>
      </x:c>
      <x:c r="H81" s="47" t="str">
        <x:v>0</x:v>
      </x:c>
      <x:c r="I81" s="47" t="str"/>
      <x:c r="J81" s="47" t="str">
        <x:v>0</x:v>
      </x:c>
      <x:c r="K81" s="47" t="str">
        <x:v>[]</x:v>
      </x:c>
    </x:row>
    <x:row r="82">
      <x:c r="A82" s="47" t="str">
        <x:v>Manual-19</x:v>
      </x:c>
      <x:c r="B82" s="47" t="str">
        <x:v>manual</x:v>
      </x:c>
      <x:c r="C82" s="47" t="str">
        <x:v>QUESTIONNAIRE_SCAN.pdf pp. 37–38</x:v>
      </x:c>
      <x:c r="D82" s="47" t="str">
        <x:v>Yes</x:v>
      </x:c>
      <x:c r="E82" s="47" t="str">
        <x:v>retained</x:v>
      </x:c>
      <x:c r="F82" s="47" t="str">
        <x:v>Yes</x:v>
      </x:c>
      <x:c r="G82" s="47" t="str"/>
      <x:c r="H82" s="47" t="str">
        <x:v>0</x:v>
      </x:c>
      <x:c r="I82" s="47" t="str"/>
      <x:c r="J82" s="47" t="str">
        <x:v>0</x:v>
      </x:c>
      <x:c r="K82" s="47" t="str">
        <x:v>[]</x:v>
      </x:c>
    </x:row>
    <x:row r="83">
      <x:c r="A83" s="47" t="str">
        <x:v>Manual-20</x:v>
      </x:c>
      <x:c r="B83" s="47" t="str">
        <x:v>manual</x:v>
      </x:c>
      <x:c r="C83" s="47" t="str">
        <x:v>QUESTIONNAIRE_SCAN.pdf pp. 39–40</x:v>
      </x:c>
      <x:c r="D83" s="47" t="str"/>
      <x:c r="E83" s="47" t="str">
        <x:v>excluded</x:v>
      </x:c>
      <x:c r="F83" s="47" t="str">
        <x:v>No</x:v>
      </x:c>
      <x:c r="G83" s="47" t="str">
        <x:v>ineligible_or_blank_eligibility</x:v>
      </x:c>
      <x:c r="H83" s="47" t="str">
        <x:v>0</x:v>
      </x:c>
      <x:c r="I83" s="47" t="str"/>
      <x:c r="J83" s="47" t="str">
        <x:v>0</x:v>
      </x:c>
      <x:c r="K83" s="47" t="str">
        <x:v>[]</x:v>
      </x:c>
    </x:row>
    <x:row r="84">
      <x:c r="A84" s="47" t="str">
        <x:v>Manual-21</x:v>
      </x:c>
      <x:c r="B84" s="47" t="str">
        <x:v>manual</x:v>
      </x:c>
      <x:c r="C84" s="47" t="str">
        <x:v>QUESTIONNAIRE_SCAN.pdf pp. 41–42</x:v>
      </x:c>
      <x:c r="D84" s="47" t="str">
        <x:v>Yes</x:v>
      </x:c>
      <x:c r="E84" s="47" t="str">
        <x:v>retained</x:v>
      </x:c>
      <x:c r="F84" s="47" t="str">
        <x:v>Yes</x:v>
      </x:c>
      <x:c r="G84" s="47" t="str"/>
      <x:c r="H84" s="47" t="str">
        <x:v>0</x:v>
      </x:c>
      <x:c r="I84" s="47" t="str"/>
      <x:c r="J84" s="47" t="str">
        <x:v>0</x:v>
      </x:c>
      <x:c r="K84" s="47" t="str">
        <x:v>[]</x:v>
      </x:c>
    </x:row>
    <x:row r="85">
      <x:c r="A85" s="47" t="str">
        <x:v>Manual-22</x:v>
      </x:c>
      <x:c r="B85" s="47" t="str">
        <x:v>manual</x:v>
      </x:c>
      <x:c r="C85" s="47" t="str">
        <x:v>QUESTIONNAIRE_SCAN.pdf pp. 43–44</x:v>
      </x:c>
      <x:c r="D85" s="47" t="str">
        <x:v>Yes</x:v>
      </x:c>
      <x:c r="E85" s="47" t="str">
        <x:v>retained</x:v>
      </x:c>
      <x:c r="F85" s="47" t="str">
        <x:v>Yes</x:v>
      </x:c>
      <x:c r="G85" s="47" t="str"/>
      <x:c r="H85" s="47" t="str">
        <x:v>0</x:v>
      </x:c>
      <x:c r="I85" s="47" t="str"/>
      <x:c r="J85" s="47" t="str">
        <x:v>0</x:v>
      </x:c>
      <x:c r="K85" s="47" t="str">
        <x:v>[]</x:v>
      </x:c>
    </x:row>
    <x:row r="86">
      <x:c r="A86" s="47" t="str">
        <x:v>Manual-23</x:v>
      </x:c>
      <x:c r="B86" s="47" t="str">
        <x:v>manual</x:v>
      </x:c>
      <x:c r="C86" s="47" t="str">
        <x:v>QUESTIONNAIRE_SCAN.pdf pp. 45–46</x:v>
      </x:c>
      <x:c r="D86" s="47" t="str">
        <x:v>Yes</x:v>
      </x:c>
      <x:c r="E86" s="47" t="str">
        <x:v>retained</x:v>
      </x:c>
      <x:c r="F86" s="47" t="str">
        <x:v>Yes</x:v>
      </x:c>
      <x:c r="G86" s="47" t="str"/>
      <x:c r="H86" s="47" t="str">
        <x:v>0</x:v>
      </x:c>
      <x:c r="I86" s="47" t="str"/>
      <x:c r="J86" s="47" t="str">
        <x:v>0</x:v>
      </x:c>
      <x:c r="K86" s="47" t="str">
        <x:v>[]</x:v>
      </x:c>
    </x:row>
    <x:row r="87">
      <x:c r="A87" s="47" t="str">
        <x:v>Manual-24</x:v>
      </x:c>
      <x:c r="B87" s="47" t="str">
        <x:v>manual</x:v>
      </x:c>
      <x:c r="C87" s="47" t="str">
        <x:v>QUESTIONNAIRE_SCAN.pdf pp. 47–48</x:v>
      </x:c>
      <x:c r="D87" s="47" t="str">
        <x:v>Yes</x:v>
      </x:c>
      <x:c r="E87" s="47" t="str">
        <x:v>retained</x:v>
      </x:c>
      <x:c r="F87" s="47" t="str">
        <x:v>Yes</x:v>
      </x:c>
      <x:c r="G87" s="47" t="str"/>
      <x:c r="H87" s="47" t="str">
        <x:v>0</x:v>
      </x:c>
      <x:c r="I87" s="47" t="str"/>
      <x:c r="J87" s="47" t="str">
        <x:v>0</x:v>
      </x:c>
      <x:c r="K87" s="47" t="str">
        <x:v>[]</x:v>
      </x:c>
    </x:row>
    <x:row r="88">
      <x:c r="A88" s="47" t="str">
        <x:v>Manual-25</x:v>
      </x:c>
      <x:c r="B88" s="47" t="str">
        <x:v>manual</x:v>
      </x:c>
      <x:c r="C88" s="47" t="str">
        <x:v>QUESTIONNAIRE_SCAN.pdf pp. 49–50</x:v>
      </x:c>
      <x:c r="D88" s="47" t="str">
        <x:v>Yes</x:v>
      </x:c>
      <x:c r="E88" s="47" t="str">
        <x:v>retained_with_imputation</x:v>
      </x:c>
      <x:c r="F88" s="47" t="str">
        <x:v>Yes</x:v>
      </x:c>
      <x:c r="G88" s="47" t="str"/>
      <x:c r="H88" s="47" t="str">
        <x:v>0</x:v>
      </x:c>
      <x:c r="I88" s="47" t="str"/>
      <x:c r="J88" s="47" t="str">
        <x:v>1</x:v>
      </x:c>
      <x:c r="K88" s="47" t="str">
        <x:v>"[{""item"": ""HL6""</x:v>
      </x:c>
    </x:row>
    <x:row r="89">
      <x:c r="A89" s="47" t="str">
        <x:v>Manual-26</x:v>
      </x:c>
      <x:c r="B89" s="47" t="str">
        <x:v>manual</x:v>
      </x:c>
      <x:c r="C89" s="47" t="str">
        <x:v>QUESTIONNAIRE_SCAN.pdf pp. 51–52</x:v>
      </x:c>
      <x:c r="D89" s="47" t="str"/>
      <x:c r="E89" s="47" t="str">
        <x:v>excluded</x:v>
      </x:c>
      <x:c r="F89" s="47" t="str">
        <x:v>No</x:v>
      </x:c>
      <x:c r="G89" s="47" t="str">
        <x:v>ineligible_or_blank_eligibility</x:v>
      </x:c>
      <x:c r="H89" s="47" t="str">
        <x:v>0</x:v>
      </x:c>
      <x:c r="I89" s="47" t="str"/>
      <x:c r="J89" s="47" t="str">
        <x:v>0</x:v>
      </x:c>
      <x:c r="K89" s="47" t="str">
        <x:v>[]</x:v>
      </x:c>
    </x:row>
    <x:row r="90">
      <x:c r="A90" s="47" t="str">
        <x:v>Manual-27</x:v>
      </x:c>
      <x:c r="B90" s="47" t="str">
        <x:v>manual</x:v>
      </x:c>
      <x:c r="C90" s="47" t="str">
        <x:v>QUESTIONNAIRE_SCAN.pdf pp. 53–54</x:v>
      </x:c>
      <x:c r="D90" s="47" t="str">
        <x:v>Yes</x:v>
      </x:c>
      <x:c r="E90" s="47" t="str">
        <x:v>retained</x:v>
      </x:c>
      <x:c r="F90" s="47" t="str">
        <x:v>Yes</x:v>
      </x:c>
      <x:c r="G90" s="47" t="str"/>
      <x:c r="H90" s="47" t="str">
        <x:v>0</x:v>
      </x:c>
      <x:c r="I90" s="47" t="str"/>
      <x:c r="J90" s="47" t="str">
        <x:v>0</x:v>
      </x:c>
      <x:c r="K90" s="47" t="str">
        <x:v>[]</x:v>
      </x:c>
    </x:row>
    <x:row r="91">
      <x:c r="A91" s="47" t="str">
        <x:v>Manual-28</x:v>
      </x:c>
      <x:c r="B91" s="47" t="str">
        <x:v>manual</x:v>
      </x:c>
      <x:c r="C91" s="47" t="str">
        <x:v>QUESTIONNAIRE_SCAN.pdf pp. 55–56</x:v>
      </x:c>
      <x:c r="D91" s="47" t="str">
        <x:v>Yes</x:v>
      </x:c>
      <x:c r="E91" s="47" t="str">
        <x:v>retained</x:v>
      </x:c>
      <x:c r="F91" s="47" t="str">
        <x:v>Yes</x:v>
      </x:c>
      <x:c r="G91" s="47" t="str"/>
      <x:c r="H91" s="47" t="str">
        <x:v>0</x:v>
      </x:c>
      <x:c r="I91" s="47" t="str"/>
      <x:c r="J91" s="47" t="str">
        <x:v>0</x:v>
      </x:c>
      <x:c r="K91" s="47" t="str">
        <x:v>[]</x:v>
      </x:c>
    </x:row>
    <x:row r="92">
      <x:c r="A92" s="47" t="str">
        <x:v>Manual-29</x:v>
      </x:c>
      <x:c r="B92" s="47" t="str">
        <x:v>manual</x:v>
      </x:c>
      <x:c r="C92" s="47" t="str">
        <x:v>QUESTIONNAIRE_SCAN.pdf pp. 57–58</x:v>
      </x:c>
      <x:c r="D92" s="47" t="str">
        <x:v>Yes</x:v>
      </x:c>
      <x:c r="E92" s="47" t="str">
        <x:v>retained</x:v>
      </x:c>
      <x:c r="F92" s="47" t="str">
        <x:v>Yes</x:v>
      </x:c>
      <x:c r="G92" s="47" t="str"/>
      <x:c r="H92" s="47" t="str">
        <x:v>0</x:v>
      </x:c>
      <x:c r="I92" s="47" t="str"/>
      <x:c r="J92" s="47" t="str">
        <x:v>0</x:v>
      </x:c>
      <x:c r="K92" s="47" t="str">
        <x:v>[]</x:v>
      </x:c>
    </x:row>
    <x:row r="93">
      <x:c r="A93" s="47" t="str">
        <x:v>Manual-30</x:v>
      </x:c>
      <x:c r="B93" s="47" t="str">
        <x:v>manual</x:v>
      </x:c>
      <x:c r="C93" s="47" t="str">
        <x:v>QUESTIONNAIRE_SCAN.pdf pp. 59–60</x:v>
      </x:c>
      <x:c r="D93" s="47" t="str">
        <x:v>Yes</x:v>
      </x:c>
      <x:c r="E93" s="47" t="str">
        <x:v>retained</x:v>
      </x:c>
      <x:c r="F93" s="47" t="str">
        <x:v>Yes</x:v>
      </x:c>
      <x:c r="G93" s="47" t="str"/>
      <x:c r="H93" s="47" t="str">
        <x:v>0</x:v>
      </x:c>
      <x:c r="I93" s="47" t="str"/>
      <x:c r="J93" s="47" t="str">
        <x:v>0</x:v>
      </x:c>
      <x:c r="K93" s="47" t="str">
        <x:v>[]</x:v>
      </x:c>
    </x:row>
    <x:row r="94">
      <x:c r="A94" s="47" t="str">
        <x:v>Manual-31</x:v>
      </x:c>
      <x:c r="B94" s="47" t="str">
        <x:v>manual</x:v>
      </x:c>
      <x:c r="C94" s="47" t="str">
        <x:v>QUESTIONNAIRE_SCAN.pdf pp. 61–62</x:v>
      </x:c>
      <x:c r="D94" s="47" t="str">
        <x:v>Yes</x:v>
      </x:c>
      <x:c r="E94" s="47" t="str">
        <x:v>retained</x:v>
      </x:c>
      <x:c r="F94" s="47" t="str">
        <x:v>Yes</x:v>
      </x:c>
      <x:c r="G94" s="47" t="str"/>
      <x:c r="H94" s="47" t="str">
        <x:v>0</x:v>
      </x:c>
      <x:c r="I94" s="47" t="str"/>
      <x:c r="J94" s="47" t="str">
        <x:v>0</x:v>
      </x:c>
      <x:c r="K94" s="47" t="str">
        <x:v>[]</x:v>
      </x:c>
    </x:row>
    <x:row r="95">
      <x:c r="A95" s="47" t="str">
        <x:v>Manual-32</x:v>
      </x:c>
      <x:c r="B95" s="47" t="str">
        <x:v>manual</x:v>
      </x:c>
      <x:c r="C95" s="47" t="str">
        <x:v>QUESTIONNAIRE_SCAN.pdf pp. 63–64</x:v>
      </x:c>
      <x:c r="D95" s="47" t="str"/>
      <x:c r="E95" s="47" t="str">
        <x:v>excluded</x:v>
      </x:c>
      <x:c r="F95" s="47" t="str">
        <x:v>No</x:v>
      </x:c>
      <x:c r="G95" s="47" t="str">
        <x:v>ineligible_or_blank_eligibility</x:v>
      </x:c>
      <x:c r="H95" s="47" t="str">
        <x:v>0</x:v>
      </x:c>
      <x:c r="I95" s="47" t="str"/>
      <x:c r="J95" s="47" t="str">
        <x:v>0</x:v>
      </x:c>
      <x:c r="K95" s="47" t="str">
        <x:v>[]</x:v>
      </x:c>
    </x:row>
    <x:row r="96">
      <x:c r="A96" s="47" t="str">
        <x:v>Manual-33</x:v>
      </x:c>
      <x:c r="B96" s="47" t="str">
        <x:v>manual</x:v>
      </x:c>
      <x:c r="C96" s="47" t="str">
        <x:v>QUESTIONNAIRE_SCAN.pdf pp. 65–66</x:v>
      </x:c>
      <x:c r="D96" s="47" t="str">
        <x:v>Yes</x:v>
      </x:c>
      <x:c r="E96" s="47" t="str">
        <x:v>retained</x:v>
      </x:c>
      <x:c r="F96" s="47" t="str">
        <x:v>Yes</x:v>
      </x:c>
      <x:c r="G96" s="47" t="str"/>
      <x:c r="H96" s="47" t="str">
        <x:v>0</x:v>
      </x:c>
      <x:c r="I96" s="47" t="str"/>
      <x:c r="J96" s="47" t="str">
        <x:v>0</x:v>
      </x:c>
      <x:c r="K96" s="47" t="str">
        <x:v>[]</x:v>
      </x:c>
    </x:row>
    <x:row r="97">
      <x:c r="A97" s="47" t="str">
        <x:v>Manual-34</x:v>
      </x:c>
      <x:c r="B97" s="47" t="str">
        <x:v>manual</x:v>
      </x:c>
      <x:c r="C97" s="47" t="str">
        <x:v>QUESTIONNAIRE_SCAN.pdf pp. 67–68</x:v>
      </x:c>
      <x:c r="D97" s="47" t="str"/>
      <x:c r="E97" s="47" t="str">
        <x:v>excluded</x:v>
      </x:c>
      <x:c r="F97" s="47" t="str">
        <x:v>No</x:v>
      </x:c>
      <x:c r="G97" s="47" t="str">
        <x:v>ineligible_or_blank_eligibility</x:v>
      </x:c>
      <x:c r="H97" s="47" t="str">
        <x:v>0</x:v>
      </x:c>
      <x:c r="I97" s="47" t="str"/>
      <x:c r="J97" s="47" t="str">
        <x:v>0</x:v>
      </x:c>
      <x:c r="K97" s="47" t="str">
        <x:v>[]</x:v>
      </x:c>
    </x:row>
    <x:row r="98">
      <x:c r="A98" s="47" t="str">
        <x:v>Manual-35</x:v>
      </x:c>
      <x:c r="B98" s="47" t="str">
        <x:v>manual</x:v>
      </x:c>
      <x:c r="C98" s="47" t="str">
        <x:v>QUESTIONNAIRE_SCAN.pdf pp. 69–70</x:v>
      </x:c>
      <x:c r="D98" s="47" t="str">
        <x:v>Yes</x:v>
      </x:c>
      <x:c r="E98" s="47" t="str">
        <x:v>retained</x:v>
      </x:c>
      <x:c r="F98" s="47" t="str">
        <x:v>Yes</x:v>
      </x:c>
      <x:c r="G98" s="47" t="str"/>
      <x:c r="H98" s="47" t="str">
        <x:v>0</x:v>
      </x:c>
      <x:c r="I98" s="47" t="str"/>
      <x:c r="J98" s="47" t="str">
        <x:v>0</x:v>
      </x:c>
      <x:c r="K98" s="47" t="str">
        <x:v>[]</x:v>
      </x:c>
    </x:row>
    <x:row r="99">
      <x:c r="A99" s="47" t="str">
        <x:v>Manual-36</x:v>
      </x:c>
      <x:c r="B99" s="47" t="str">
        <x:v>manual</x:v>
      </x:c>
      <x:c r="C99" s="47" t="str">
        <x:v>QUESTIONNAIRE_SCAN.pdf pp. 71–72</x:v>
      </x:c>
      <x:c r="D99" s="47" t="str">
        <x:v>Yes</x:v>
      </x:c>
      <x:c r="E99" s="47" t="str">
        <x:v>retained</x:v>
      </x:c>
      <x:c r="F99" s="47" t="str">
        <x:v>Yes</x:v>
      </x:c>
      <x:c r="G99" s="47" t="str"/>
      <x:c r="H99" s="47" t="str">
        <x:v>0</x:v>
      </x:c>
      <x:c r="I99" s="47" t="str"/>
      <x:c r="J99" s="47" t="str">
        <x:v>0</x:v>
      </x:c>
      <x:c r="K99" s="47" t="str">
        <x:v>[]</x:v>
      </x:c>
    </x:row>
    <x:row r="100">
      <x:c r="A100" s="47" t="str">
        <x:v>Manual-37</x:v>
      </x:c>
      <x:c r="B100" s="47" t="str">
        <x:v>manual</x:v>
      </x:c>
      <x:c r="C100" s="47" t="str">
        <x:v>QUESTIONNAIRE_SCAN.pdf pp. 73–74</x:v>
      </x:c>
      <x:c r="D100" s="47" t="str">
        <x:v>Yes</x:v>
      </x:c>
      <x:c r="E100" s="47" t="str">
        <x:v>retained</x:v>
      </x:c>
      <x:c r="F100" s="47" t="str">
        <x:v>Yes</x:v>
      </x:c>
      <x:c r="G100" s="47" t="str"/>
      <x:c r="H100" s="47" t="str">
        <x:v>0</x:v>
      </x:c>
      <x:c r="I100" s="47" t="str"/>
      <x:c r="J100" s="47" t="str">
        <x:v>0</x:v>
      </x:c>
      <x:c r="K100" s="47" t="str">
        <x:v>[]</x:v>
      </x:c>
    </x:row>
    <x:row r="101">
      <x:c r="A101" s="47" t="str">
        <x:v>Manual-38</x:v>
      </x:c>
      <x:c r="B101" s="47" t="str">
        <x:v>manual</x:v>
      </x:c>
      <x:c r="C101" s="47" t="str">
        <x:v>QUESTIONNAIRE_SCAN.pdf pp. 75–76</x:v>
      </x:c>
      <x:c r="D101" s="47" t="str">
        <x:v>Yes</x:v>
      </x:c>
      <x:c r="E101" s="47" t="str">
        <x:v>retained</x:v>
      </x:c>
      <x:c r="F101" s="47" t="str">
        <x:v>Yes</x:v>
      </x:c>
      <x:c r="G101" s="47" t="str"/>
      <x:c r="H101" s="47" t="str">
        <x:v>0</x:v>
      </x:c>
      <x:c r="I101" s="47" t="str"/>
      <x:c r="J101" s="47" t="str">
        <x:v>0</x:v>
      </x:c>
      <x:c r="K101" s="47" t="str">
        <x:v>[]</x:v>
      </x:c>
    </x:row>
    <x:row r="102">
      <x:c r="A102" s="47" t="str">
        <x:v>Manual-39</x:v>
      </x:c>
      <x:c r="B102" s="47" t="str">
        <x:v>manual</x:v>
      </x:c>
      <x:c r="C102" s="47" t="str">
        <x:v>QUESTIONNAIRE_SCAN.pdf pp. 77–78</x:v>
      </x:c>
      <x:c r="D102" s="47" t="str">
        <x:v>Yes</x:v>
      </x:c>
      <x:c r="E102" s="47" t="str">
        <x:v>retained</x:v>
      </x:c>
      <x:c r="F102" s="47" t="str">
        <x:v>Yes</x:v>
      </x:c>
      <x:c r="G102" s="47" t="str"/>
      <x:c r="H102" s="47" t="str">
        <x:v>0</x:v>
      </x:c>
      <x:c r="I102" s="47" t="str"/>
      <x:c r="J102" s="47" t="str">
        <x:v>0</x:v>
      </x:c>
      <x:c r="K102" s="47" t="str">
        <x:v>[]</x:v>
      </x:c>
    </x:row>
    <x:row r="103">
      <x:c r="A103" s="47" t="str">
        <x:v>Manual-40</x:v>
      </x:c>
      <x:c r="B103" s="47" t="str">
        <x:v>manual</x:v>
      </x:c>
      <x:c r="C103" s="47" t="str">
        <x:v>QUESTIONNAIRE_SCAN.pdf pp. 79–80</x:v>
      </x:c>
      <x:c r="D103" s="47" t="str">
        <x:v>No</x:v>
      </x:c>
      <x:c r="E103" s="47" t="str">
        <x:v>excluded</x:v>
      </x:c>
      <x:c r="F103" s="47" t="str">
        <x:v>No</x:v>
      </x:c>
      <x:c r="G103" s="47" t="str">
        <x:v>ineligible_or_blank_eligibility</x:v>
      </x:c>
      <x:c r="H103" s="47" t="str">
        <x:v>1</x:v>
      </x:c>
      <x:c r="I103" s="47" t="str">
        <x:v>Q1_eligibility:answered_no_but_scale_items_completed</x:v>
      </x:c>
      <x:c r="J103" s="47" t="str">
        <x:v>0</x:v>
      </x:c>
      <x:c r="K103" s="47" t="str">
        <x:v>[]</x:v>
      </x:c>
    </x:row>
    <x:row r="104">
      <x:c r="A104" s="47" t="str">
        <x:v>Manual-41</x:v>
      </x:c>
      <x:c r="B104" s="47" t="str">
        <x:v>manual</x:v>
      </x:c>
      <x:c r="C104" s="47" t="str">
        <x:v>QUESTIONNAIRE_SCAN.pdf pp. 81–82</x:v>
      </x:c>
      <x:c r="D104" s="47" t="str">
        <x:v>Yes</x:v>
      </x:c>
      <x:c r="E104" s="47" t="str">
        <x:v>retained</x:v>
      </x:c>
      <x:c r="F104" s="47" t="str">
        <x:v>Yes</x:v>
      </x:c>
      <x:c r="G104" s="47" t="str"/>
      <x:c r="H104" s="47" t="str">
        <x:v>0</x:v>
      </x:c>
      <x:c r="I104" s="47" t="str"/>
      <x:c r="J104" s="47" t="str">
        <x:v>0</x:v>
      </x:c>
      <x:c r="K104" s="47" t="str">
        <x:v>[]</x:v>
      </x:c>
    </x:row>
    <x:row r="105">
      <x:c r="A105" s="47" t="str">
        <x:v>Manual-42</x:v>
      </x:c>
      <x:c r="B105" s="47" t="str">
        <x:v>manual</x:v>
      </x:c>
      <x:c r="C105" s="47" t="str">
        <x:v>QUESTIONNAIRE_SCAN.pdf pp. 83–84</x:v>
      </x:c>
      <x:c r="D105" s="47" t="str">
        <x:v>Yes</x:v>
      </x:c>
      <x:c r="E105" s="47" t="str">
        <x:v>retained</x:v>
      </x:c>
      <x:c r="F105" s="47" t="str">
        <x:v>Yes</x:v>
      </x:c>
      <x:c r="G105" s="47" t="str"/>
      <x:c r="H105" s="47" t="str">
        <x:v>0</x:v>
      </x:c>
      <x:c r="I105" s="47" t="str"/>
      <x:c r="J105" s="47" t="str">
        <x:v>0</x:v>
      </x:c>
      <x:c r="K105" s="47" t="str">
        <x:v>[]</x:v>
      </x:c>
    </x:row>
    <x:row r="106">
      <x:c r="A106" s="47" t="str">
        <x:v>Manual-43</x:v>
      </x:c>
      <x:c r="B106" s="47" t="str">
        <x:v>manual</x:v>
      </x:c>
      <x:c r="C106" s="47" t="str">
        <x:v>QUESTIONNAIRE_SCAN.pdf pp. 85–86</x:v>
      </x:c>
      <x:c r="D106" s="47" t="str"/>
      <x:c r="E106" s="47" t="str">
        <x:v>excluded</x:v>
      </x:c>
      <x:c r="F106" s="47" t="str">
        <x:v>No</x:v>
      </x:c>
      <x:c r="G106" s="47" t="str">
        <x:v>ineligible_or_blank_eligibility</x:v>
      </x:c>
      <x:c r="H106" s="47" t="str">
        <x:v>0</x:v>
      </x:c>
      <x:c r="I106" s="47" t="str"/>
      <x:c r="J106" s="47" t="str">
        <x:v>0</x:v>
      </x:c>
      <x:c r="K106" s="47" t="str">
        <x:v>[]</x:v>
      </x:c>
    </x:row>
    <x:row r="107">
      <x:c r="A107" s="47" t="str">
        <x:v>Manual-44</x:v>
      </x:c>
      <x:c r="B107" s="47" t="str">
        <x:v>manual</x:v>
      </x:c>
      <x:c r="C107" s="47" t="str">
        <x:v>QUESTIONNAIRE_SCAN.pdf pp. 87–88</x:v>
      </x:c>
      <x:c r="D107" s="47" t="str"/>
      <x:c r="E107" s="47" t="str">
        <x:v>excluded</x:v>
      </x:c>
      <x:c r="F107" s="47" t="str">
        <x:v>No</x:v>
      </x:c>
      <x:c r="G107" s="47" t="str">
        <x:v>ineligible_or_blank_eligibility</x:v>
      </x:c>
      <x:c r="H107" s="47" t="str">
        <x:v>0</x:v>
      </x:c>
      <x:c r="I107" s="47" t="str"/>
      <x:c r="J107" s="47" t="str">
        <x:v>0</x:v>
      </x:c>
      <x:c r="K107" s="47" t="str">
        <x:v>[]</x:v>
      </x:c>
    </x:row>
    <x:row r="108">
      <x:c r="A108" s="47" t="str">
        <x:v>Manual-45</x:v>
      </x:c>
      <x:c r="B108" s="47" t="str">
        <x:v>manual</x:v>
      </x:c>
      <x:c r="C108" s="47" t="str">
        <x:v>QUESTIONNAIRE_SCAN.pdf pp. 89–90</x:v>
      </x:c>
      <x:c r="D108" s="47" t="str"/>
      <x:c r="E108" s="47" t="str">
        <x:v>excluded</x:v>
      </x:c>
      <x:c r="F108" s="47" t="str">
        <x:v>No</x:v>
      </x:c>
      <x:c r="G108" s="47" t="str">
        <x:v>ineligible_or_blank_eligibility</x:v>
      </x:c>
      <x:c r="H108" s="47" t="str">
        <x:v>0</x:v>
      </x:c>
      <x:c r="I108" s="47" t="str"/>
      <x:c r="J108" s="47" t="str">
        <x:v>0</x:v>
      </x:c>
      <x:c r="K108" s="47" t="str">
        <x:v>[]</x:v>
      </x:c>
    </x:row>
    <x:row r="109">
      <x:c r="A109" s="47" t="str">
        <x:v>Manual-46</x:v>
      </x:c>
      <x:c r="B109" s="47" t="str">
        <x:v>manual</x:v>
      </x:c>
      <x:c r="C109" s="47" t="str">
        <x:v>QUESTIONNAIRE_SCAN.pdf pp. 91–92</x:v>
      </x:c>
      <x:c r="D109" s="47" t="str">
        <x:v>Yes</x:v>
      </x:c>
      <x:c r="E109" s="47" t="str">
        <x:v>retained_with_imputation</x:v>
      </x:c>
      <x:c r="F109" s="47" t="str">
        <x:v>Yes</x:v>
      </x:c>
      <x:c r="G109" s="47" t="str"/>
      <x:c r="H109" s="47" t="str">
        <x:v>0</x:v>
      </x:c>
      <x:c r="I109" s="47" t="str"/>
      <x:c r="J109" s="47" t="str">
        <x:v>1</x:v>
      </x:c>
      <x:c r="K109" s="47" t="str">
        <x:v>"[{""item"": ""HL4""</x:v>
      </x:c>
    </x:row>
    <x:row r="110">
      <x:c r="A110" s="47" t="str">
        <x:v>Manual-47</x:v>
      </x:c>
      <x:c r="B110" s="47" t="str">
        <x:v>manual</x:v>
      </x:c>
      <x:c r="C110" s="47" t="str">
        <x:v>QUESTIONNAIRE_SCAN.pdf pp. 93–94</x:v>
      </x:c>
      <x:c r="D110" s="47" t="str">
        <x:v>Yes</x:v>
      </x:c>
      <x:c r="E110" s="47" t="str">
        <x:v>retained</x:v>
      </x:c>
      <x:c r="F110" s="47" t="str">
        <x:v>Yes</x:v>
      </x:c>
      <x:c r="G110" s="47" t="str"/>
      <x:c r="H110" s="47" t="str">
        <x:v>0</x:v>
      </x:c>
      <x:c r="I110" s="47" t="str"/>
      <x:c r="J110" s="47" t="str">
        <x:v>0</x:v>
      </x:c>
      <x:c r="K110" s="47" t="str">
        <x:v>[]</x:v>
      </x:c>
    </x:row>
    <x:row r="111">
      <x:c r="A111" s="47" t="str">
        <x:v>Manual-48</x:v>
      </x:c>
      <x:c r="B111" s="47" t="str">
        <x:v>manual</x:v>
      </x:c>
      <x:c r="C111" s="47" t="str">
        <x:v>QUESTIONNAIRE_SCAN.pdf pp. 95–96</x:v>
      </x:c>
      <x:c r="D111" s="47" t="str">
        <x:v>Yes</x:v>
      </x:c>
      <x:c r="E111" s="47" t="str">
        <x:v>retained</x:v>
      </x:c>
      <x:c r="F111" s="47" t="str">
        <x:v>Yes</x:v>
      </x:c>
      <x:c r="G111" s="47" t="str"/>
      <x:c r="H111" s="47" t="str">
        <x:v>0</x:v>
      </x:c>
      <x:c r="I111" s="47" t="str"/>
      <x:c r="J111" s="47" t="str">
        <x:v>0</x:v>
      </x:c>
      <x:c r="K111" s="47" t="str">
        <x:v>[]</x:v>
      </x:c>
    </x:row>
    <x:row r="112">
      <x:c r="A112" s="47" t="str">
        <x:v>Manual-49</x:v>
      </x:c>
      <x:c r="B112" s="47" t="str">
        <x:v>manual</x:v>
      </x:c>
      <x:c r="C112" s="47" t="str">
        <x:v>QUESTIONNAIRE_SCAN.pdf pp. 97–98</x:v>
      </x:c>
      <x:c r="D112" s="47" t="str">
        <x:v>No</x:v>
      </x:c>
      <x:c r="E112" s="47" t="str">
        <x:v>excluded</x:v>
      </x:c>
      <x:c r="F112" s="47" t="str">
        <x:v>No</x:v>
      </x:c>
      <x:c r="G112" s="47" t="str">
        <x:v>ineligible_or_blank_eligibility</x:v>
      </x:c>
      <x:c r="H112" s="47" t="str">
        <x:v>1</x:v>
      </x:c>
      <x:c r="I112" s="47" t="str">
        <x:v>Q1_eligibility:answered_no_but_scale_items_completed</x:v>
      </x:c>
      <x:c r="J112" s="47" t="str">
        <x:v>0</x:v>
      </x:c>
      <x:c r="K112" s="47" t="str">
        <x:v>[]</x:v>
      </x:c>
    </x:row>
    <x:row r="113">
      <x:c r="A113" s="47" t="str">
        <x:v>Manual-50</x:v>
      </x:c>
      <x:c r="B113" s="47" t="str">
        <x:v>manual</x:v>
      </x:c>
      <x:c r="C113" s="47" t="str">
        <x:v>QUESTIONNAIRE_SCAN.pdf pp. 99–100</x:v>
      </x:c>
      <x:c r="D113" s="47" t="str">
        <x:v>Yes</x:v>
      </x:c>
      <x:c r="E113" s="47" t="str">
        <x:v>retained</x:v>
      </x:c>
      <x:c r="F113" s="47" t="str">
        <x:v>Yes</x:v>
      </x:c>
      <x:c r="G113" s="47" t="str"/>
      <x:c r="H113" s="47" t="str">
        <x:v>0</x:v>
      </x:c>
      <x:c r="I113" s="47" t="str"/>
      <x:c r="J113" s="47" t="str">
        <x:v>0</x:v>
      </x:c>
      <x:c r="K113" s="47" t="str">
        <x:v>[]</x:v>
      </x:c>
    </x:row>
    <x:row r="114">
      <x:c r="A114" s="47" t="str">
        <x:v>Manual-51</x:v>
      </x:c>
      <x:c r="B114" s="47" t="str">
        <x:v>manual</x:v>
      </x:c>
      <x:c r="C114" s="47" t="str">
        <x:v>QUESTIONNAIRE_SCAN.pdf pp. 101–102</x:v>
      </x:c>
      <x:c r="D114" s="47" t="str">
        <x:v>Yes</x:v>
      </x:c>
      <x:c r="E114" s="47" t="str">
        <x:v>retained</x:v>
      </x:c>
      <x:c r="F114" s="47" t="str">
        <x:v>Yes</x:v>
      </x:c>
      <x:c r="G114" s="47" t="str"/>
      <x:c r="H114" s="47" t="str">
        <x:v>0</x:v>
      </x:c>
      <x:c r="I114" s="47" t="str"/>
      <x:c r="J114" s="47" t="str">
        <x:v>0</x:v>
      </x:c>
      <x:c r="K114" s="47" t="str">
        <x:v>[]</x:v>
      </x:c>
    </x:row>
    <x:row r="115">
      <x:c r="A115" s="47" t="str">
        <x:v>Manual-52</x:v>
      </x:c>
      <x:c r="B115" s="47" t="str">
        <x:v>manual</x:v>
      </x:c>
      <x:c r="C115" s="47" t="str">
        <x:v>QUESTIONNAIRE_SCAN.pdf pp. 103–104</x:v>
      </x:c>
      <x:c r="D115" s="47" t="str">
        <x:v>Yes</x:v>
      </x:c>
      <x:c r="E115" s="47" t="str">
        <x:v>retained</x:v>
      </x:c>
      <x:c r="F115" s="47" t="str">
        <x:v>Yes</x:v>
      </x:c>
      <x:c r="G115" s="47" t="str"/>
      <x:c r="H115" s="47" t="str">
        <x:v>0</x:v>
      </x:c>
      <x:c r="I115" s="47" t="str"/>
      <x:c r="J115" s="47" t="str">
        <x:v>0</x:v>
      </x:c>
      <x:c r="K115" s="47" t="str">
        <x:v>[]</x:v>
      </x:c>
    </x:row>
    <x:row r="116">
      <x:c r="A116" s="47" t="str">
        <x:v>Manual-53</x:v>
      </x:c>
      <x:c r="B116" s="47" t="str">
        <x:v>manual</x:v>
      </x:c>
      <x:c r="C116" s="47" t="str">
        <x:v>QUESTIONNAIRE_SCAN.pdf pp. 105–106</x:v>
      </x:c>
      <x:c r="D116" s="47" t="str">
        <x:v>Yes</x:v>
      </x:c>
      <x:c r="E116" s="47" t="str">
        <x:v>retained</x:v>
      </x:c>
      <x:c r="F116" s="47" t="str">
        <x:v>Yes</x:v>
      </x:c>
      <x:c r="G116" s="47" t="str"/>
      <x:c r="H116" s="47" t="str">
        <x:v>0</x:v>
      </x:c>
      <x:c r="I116" s="47" t="str"/>
      <x:c r="J116" s="47" t="str">
        <x:v>0</x:v>
      </x:c>
      <x:c r="K116" s="47" t="str">
        <x:v>[]</x:v>
      </x:c>
    </x:row>
    <x:row r="117">
      <x:c r="A117" s="47" t="str">
        <x:v>Manual-54</x:v>
      </x:c>
      <x:c r="B117" s="47" t="str">
        <x:v>manual</x:v>
      </x:c>
      <x:c r="C117" s="47" t="str">
        <x:v>QUESTIONNAIRE_SCAN.pdf pp. 107–108</x:v>
      </x:c>
      <x:c r="D117" s="47" t="str">
        <x:v>Yes</x:v>
      </x:c>
      <x:c r="E117" s="47" t="str">
        <x:v>retained</x:v>
      </x:c>
      <x:c r="F117" s="47" t="str">
        <x:v>Yes</x:v>
      </x:c>
      <x:c r="G117" s="47" t="str"/>
      <x:c r="H117" s="47" t="str">
        <x:v>0</x:v>
      </x:c>
      <x:c r="I117" s="47" t="str"/>
      <x:c r="J117" s="47" t="str">
        <x:v>0</x:v>
      </x:c>
      <x:c r="K117" s="47" t="str">
        <x:v>[]</x:v>
      </x:c>
    </x:row>
    <x:row r="118">
      <x:c r="A118" s="47" t="str">
        <x:v>Manual-55</x:v>
      </x:c>
      <x:c r="B118" s="47" t="str">
        <x:v>manual</x:v>
      </x:c>
      <x:c r="C118" s="47" t="str">
        <x:v>QUESTIONNAIRE_SCAN.pdf pp. 109–110</x:v>
      </x:c>
      <x:c r="D118" s="47" t="str">
        <x:v>Yes</x:v>
      </x:c>
      <x:c r="E118" s="47" t="str">
        <x:v>retained</x:v>
      </x:c>
      <x:c r="F118" s="47" t="str">
        <x:v>Yes</x:v>
      </x:c>
      <x:c r="G118" s="47" t="str"/>
      <x:c r="H118" s="47" t="str">
        <x:v>0</x:v>
      </x:c>
      <x:c r="I118" s="47" t="str"/>
      <x:c r="J118" s="47" t="str">
        <x:v>0</x:v>
      </x:c>
      <x:c r="K118" s="47" t="str">
        <x:v>[]</x:v>
      </x:c>
    </x:row>
    <x:row r="119">
      <x:c r="A119" s="47" t="str">
        <x:v>Manual-56</x:v>
      </x:c>
      <x:c r="B119" s="47" t="str">
        <x:v>manual</x:v>
      </x:c>
      <x:c r="C119" s="47" t="str">
        <x:v>QUESTIONNAIRE_SCAN.pdf pp. 111–112</x:v>
      </x:c>
      <x:c r="D119" s="47" t="str">
        <x:v>Yes</x:v>
      </x:c>
      <x:c r="E119" s="47" t="str">
        <x:v>retained</x:v>
      </x:c>
      <x:c r="F119" s="47" t="str">
        <x:v>Yes</x:v>
      </x:c>
      <x:c r="G119" s="47" t="str"/>
      <x:c r="H119" s="47" t="str">
        <x:v>0</x:v>
      </x:c>
      <x:c r="I119" s="47" t="str"/>
      <x:c r="J119" s="47" t="str">
        <x:v>0</x:v>
      </x:c>
      <x:c r="K119" s="47" t="str">
        <x:v>[]</x:v>
      </x:c>
    </x:row>
    <x:row r="120">
      <x:c r="A120" s="47" t="str">
        <x:v>Manual-57</x:v>
      </x:c>
      <x:c r="B120" s="47" t="str">
        <x:v>manual</x:v>
      </x:c>
      <x:c r="C120" s="47" t="str">
        <x:v>QUESTIONNAIRE_SCAN.pdf pp. 113–114</x:v>
      </x:c>
      <x:c r="D120" s="47" t="str">
        <x:v>Yes</x:v>
      </x:c>
      <x:c r="E120" s="47" t="str">
        <x:v>retained</x:v>
      </x:c>
      <x:c r="F120" s="47" t="str">
        <x:v>Yes</x:v>
      </x:c>
      <x:c r="G120" s="47" t="str"/>
      <x:c r="H120" s="47" t="str">
        <x:v>0</x:v>
      </x:c>
      <x:c r="I120" s="47" t="str"/>
      <x:c r="J120" s="47" t="str">
        <x:v>0</x:v>
      </x:c>
      <x:c r="K120" s="47" t="str">
        <x:v>[]</x:v>
      </x:c>
    </x:row>
    <x:row r="121">
      <x:c r="A121" s="47" t="str">
        <x:v>Manual-58</x:v>
      </x:c>
      <x:c r="B121" s="47" t="str">
        <x:v>manual</x:v>
      </x:c>
      <x:c r="C121" s="47" t="str">
        <x:v>QUESTIONNAIRE_SCAN.pdf pp. 115–116</x:v>
      </x:c>
      <x:c r="D121" s="47" t="str">
        <x:v>Yes</x:v>
      </x:c>
      <x:c r="E121" s="47" t="str">
        <x:v>retained</x:v>
      </x:c>
      <x:c r="F121" s="47" t="str">
        <x:v>Yes</x:v>
      </x:c>
      <x:c r="G121" s="47" t="str"/>
      <x:c r="H121" s="47" t="str">
        <x:v>0</x:v>
      </x:c>
      <x:c r="I121" s="47" t="str"/>
      <x:c r="J121" s="47" t="str">
        <x:v>0</x:v>
      </x:c>
      <x:c r="K121" s="47" t="str">
        <x:v>[]</x:v>
      </x:c>
    </x:row>
    <x:row r="122">
      <x:c r="A122" s="47" t="str">
        <x:v>Manual-59</x:v>
      </x:c>
      <x:c r="B122" s="47" t="str">
        <x:v>manual</x:v>
      </x:c>
      <x:c r="C122" s="47" t="str">
        <x:v>QUESTIONNAIRE_SCAN.pdf pp. 117–118</x:v>
      </x:c>
      <x:c r="D122" s="47" t="str"/>
      <x:c r="E122" s="47" t="str">
        <x:v>excluded</x:v>
      </x:c>
      <x:c r="F122" s="47" t="str">
        <x:v>No</x:v>
      </x:c>
      <x:c r="G122" s="47" t="str">
        <x:v>ineligible_or_blank_eligibility</x:v>
      </x:c>
      <x:c r="H122" s="47" t="str">
        <x:v>0</x:v>
      </x:c>
      <x:c r="I122" s="47" t="str"/>
      <x:c r="J122" s="47" t="str">
        <x:v>0</x:v>
      </x:c>
      <x:c r="K122" s="47" t="str">
        <x:v>[]</x:v>
      </x:c>
    </x:row>
    <x:row r="123">
      <x:c r="A123" s="47" t="str">
        <x:v>Manual-60</x:v>
      </x:c>
      <x:c r="B123" s="47" t="str">
        <x:v>manual</x:v>
      </x:c>
      <x:c r="C123" s="47" t="str">
        <x:v>QUESTIONNAIRE_SCAN.pdf pp. 119–120</x:v>
      </x:c>
      <x:c r="D123" s="47" t="str">
        <x:v>Yes</x:v>
      </x:c>
      <x:c r="E123" s="47" t="str">
        <x:v>retained</x:v>
      </x:c>
      <x:c r="F123" s="47" t="str">
        <x:v>Yes</x:v>
      </x:c>
      <x:c r="G123" s="47" t="str"/>
      <x:c r="H123" s="47" t="str">
        <x:v>0</x:v>
      </x:c>
      <x:c r="I123" s="47" t="str"/>
      <x:c r="J123" s="47" t="str">
        <x:v>0</x:v>
      </x:c>
      <x:c r="K123" s="47" t="str">
        <x:v>[]</x:v>
      </x:c>
    </x:row>
    <x:row r="124">
      <x:c r="A124" s="47" t="str">
        <x:v>Manual-61</x:v>
      </x:c>
      <x:c r="B124" s="47" t="str">
        <x:v>manual</x:v>
      </x:c>
      <x:c r="C124" s="47" t="str">
        <x:v>QUESTIONNAIRE_SCAN.pdf pp. 121–122</x:v>
      </x:c>
      <x:c r="D124" s="47" t="str"/>
      <x:c r="E124" s="47" t="str">
        <x:v>excluded</x:v>
      </x:c>
      <x:c r="F124" s="47" t="str">
        <x:v>No</x:v>
      </x:c>
      <x:c r="G124" s="47" t="str">
        <x:v>ineligible_or_blank_eligibility</x:v>
      </x:c>
      <x:c r="H124" s="47" t="str">
        <x:v>0</x:v>
      </x:c>
      <x:c r="I124" s="47" t="str"/>
      <x:c r="J124" s="47" t="str">
        <x:v>0</x:v>
      </x:c>
      <x:c r="K124" s="47" t="str">
        <x:v>[]</x:v>
      </x:c>
    </x:row>
    <x:row r="125">
      <x:c r="A125" s="47" t="str">
        <x:v>Manual-62</x:v>
      </x:c>
      <x:c r="B125" s="47" t="str">
        <x:v>manual</x:v>
      </x:c>
      <x:c r="C125" s="47" t="str">
        <x:v>QUESTIONNAIRE_SCAN.pdf pp. 123–124</x:v>
      </x:c>
      <x:c r="D125" s="47" t="str">
        <x:v>Yes</x:v>
      </x:c>
      <x:c r="E125" s="47" t="str">
        <x:v>retained</x:v>
      </x:c>
      <x:c r="F125" s="47" t="str">
        <x:v>Yes</x:v>
      </x:c>
      <x:c r="G125" s="47" t="str"/>
      <x:c r="H125" s="47" t="str">
        <x:v>0</x:v>
      </x:c>
      <x:c r="I125" s="47" t="str"/>
      <x:c r="J125" s="47" t="str">
        <x:v>0</x:v>
      </x:c>
      <x:c r="K125" s="47" t="str">
        <x:v>[]</x:v>
      </x:c>
    </x:row>
    <x:row r="126">
      <x:c r="A126" s="47" t="str">
        <x:v>Manual-63</x:v>
      </x:c>
      <x:c r="B126" s="47" t="str">
        <x:v>manual</x:v>
      </x:c>
      <x:c r="C126" s="47" t="str">
        <x:v>QUESTIONNAIRE_SCAN.pdf pp. 125–126</x:v>
      </x:c>
      <x:c r="D126" s="47" t="str">
        <x:v>Yes</x:v>
      </x:c>
      <x:c r="E126" s="47" t="str">
        <x:v>retained</x:v>
      </x:c>
      <x:c r="F126" s="47" t="str">
        <x:v>Yes</x:v>
      </x:c>
      <x:c r="G126" s="47" t="str"/>
      <x:c r="H126" s="47" t="str">
        <x:v>0</x:v>
      </x:c>
      <x:c r="I126" s="47" t="str"/>
      <x:c r="J126" s="47" t="str">
        <x:v>0</x:v>
      </x:c>
      <x:c r="K126" s="47" t="str">
        <x:v>[]</x:v>
      </x:c>
    </x:row>
    <x:row r="127">
      <x:c r="A127" s="47" t="str">
        <x:v>Manual-64</x:v>
      </x:c>
      <x:c r="B127" s="47" t="str">
        <x:v>manual</x:v>
      </x:c>
      <x:c r="C127" s="47" t="str">
        <x:v>QUESTIONNAIRE_SCAN.pdf pp. 127–128</x:v>
      </x:c>
      <x:c r="D127" s="47" t="str">
        <x:v>Yes</x:v>
      </x:c>
      <x:c r="E127" s="47" t="str">
        <x:v>retained</x:v>
      </x:c>
      <x:c r="F127" s="47" t="str">
        <x:v>Yes</x:v>
      </x:c>
      <x:c r="G127" s="47" t="str"/>
      <x:c r="H127" s="47" t="str">
        <x:v>0</x:v>
      </x:c>
      <x:c r="I127" s="47" t="str"/>
      <x:c r="J127" s="47" t="str">
        <x:v>0</x:v>
      </x:c>
      <x:c r="K127" s="47" t="str">
        <x:v>[]</x:v>
      </x:c>
    </x:row>
    <x:row r="128">
      <x:c r="A128" s="47" t="str">
        <x:v>Manual-65</x:v>
      </x:c>
      <x:c r="B128" s="47" t="str">
        <x:v>manual</x:v>
      </x:c>
      <x:c r="C128" s="47" t="str">
        <x:v>QUESTIONNAIRE_SCAN.pdf pp. 129–130</x:v>
      </x:c>
      <x:c r="D128" s="47" t="str">
        <x:v>Yes</x:v>
      </x:c>
      <x:c r="E128" s="47" t="str">
        <x:v>retained</x:v>
      </x:c>
      <x:c r="F128" s="47" t="str">
        <x:v>Yes</x:v>
      </x:c>
      <x:c r="G128" s="47" t="str"/>
      <x:c r="H128" s="47" t="str">
        <x:v>0</x:v>
      </x:c>
      <x:c r="I128" s="47" t="str"/>
      <x:c r="J128" s="47" t="str">
        <x:v>0</x:v>
      </x:c>
      <x:c r="K128" s="47" t="str">
        <x:v>[]</x:v>
      </x:c>
    </x:row>
    <x:row r="129">
      <x:c r="A129" s="47" t="str">
        <x:v>Manual-66</x:v>
      </x:c>
      <x:c r="B129" s="47" t="str">
        <x:v>manual</x:v>
      </x:c>
      <x:c r="C129" s="47" t="str">
        <x:v>QUESTIONNAIRE_SCAN.pdf pp. 131–132</x:v>
      </x:c>
      <x:c r="D129" s="47" t="str">
        <x:v>Yes</x:v>
      </x:c>
      <x:c r="E129" s="47" t="str">
        <x:v>retained</x:v>
      </x:c>
      <x:c r="F129" s="47" t="str">
        <x:v>Yes</x:v>
      </x:c>
      <x:c r="G129" s="47" t="str"/>
      <x:c r="H129" s="47" t="str">
        <x:v>0</x:v>
      </x:c>
      <x:c r="I129" s="47" t="str"/>
      <x:c r="J129" s="47" t="str">
        <x:v>0</x:v>
      </x:c>
      <x:c r="K129" s="47" t="str">
        <x:v>[]</x:v>
      </x:c>
    </x:row>
    <x:row r="130">
      <x:c r="A130" s="47" t="str">
        <x:v>Manual-67</x:v>
      </x:c>
      <x:c r="B130" s="47" t="str">
        <x:v>manual</x:v>
      </x:c>
      <x:c r="C130" s="47" t="str">
        <x:v>QUESTIONNAIRE_SCAN.pdf pp. 133–134</x:v>
      </x:c>
      <x:c r="D130" s="47" t="str">
        <x:v>Yes</x:v>
      </x:c>
      <x:c r="E130" s="47" t="str">
        <x:v>retained</x:v>
      </x:c>
      <x:c r="F130" s="47" t="str">
        <x:v>Yes</x:v>
      </x:c>
      <x:c r="G130" s="47" t="str"/>
      <x:c r="H130" s="47" t="str">
        <x:v>0</x:v>
      </x:c>
      <x:c r="I130" s="47" t="str"/>
      <x:c r="J130" s="47" t="str">
        <x:v>0</x:v>
      </x:c>
      <x:c r="K130" s="47" t="str">
        <x:v>[]</x:v>
      </x:c>
    </x:row>
    <x:row r="131">
      <x:c r="A131" s="47" t="str">
        <x:v>Manual-68</x:v>
      </x:c>
      <x:c r="B131" s="47" t="str">
        <x:v>manual</x:v>
      </x:c>
      <x:c r="C131" s="47" t="str">
        <x:v>QUESTIONNAIRE_SCAN.pdf pp. 135–136</x:v>
      </x:c>
      <x:c r="D131" s="47" t="str">
        <x:v>Yes</x:v>
      </x:c>
      <x:c r="E131" s="47" t="str">
        <x:v>retained</x:v>
      </x:c>
      <x:c r="F131" s="47" t="str">
        <x:v>Yes</x:v>
      </x:c>
      <x:c r="G131" s="47" t="str"/>
      <x:c r="H131" s="47" t="str">
        <x:v>0</x:v>
      </x:c>
      <x:c r="I131" s="47" t="str"/>
      <x:c r="J131" s="47" t="str">
        <x:v>0</x:v>
      </x:c>
      <x:c r="K131" s="47" t="str">
        <x:v>[]</x:v>
      </x:c>
    </x:row>
    <x:row r="132">
      <x:c r="A132" s="47" t="str">
        <x:v>Manual-69</x:v>
      </x:c>
      <x:c r="B132" s="47" t="str">
        <x:v>manual</x:v>
      </x:c>
      <x:c r="C132" s="47" t="str">
        <x:v>QUESTIONNAIRE_SCAN.pdf pp. 137–138</x:v>
      </x:c>
      <x:c r="D132" s="47" t="str"/>
      <x:c r="E132" s="47" t="str">
        <x:v>excluded</x:v>
      </x:c>
      <x:c r="F132" s="47" t="str">
        <x:v>No</x:v>
      </x:c>
      <x:c r="G132" s="47" t="str">
        <x:v>ineligible_or_blank_eligibility</x:v>
      </x:c>
      <x:c r="H132" s="47" t="str">
        <x:v>4</x:v>
      </x:c>
      <x:c r="I132" s="47" t="str">
        <x:v>Q1_eligibility:blank_or_illegible | Q2_age_group:blank_or_illegible | Q3_length_of_service:blank_or_illegible | Q4_job_level:blank_or_illegible</x:v>
      </x:c>
      <x:c r="J132" s="47" t="str">
        <x:v>0</x:v>
      </x:c>
      <x:c r="K132" s="47" t="str">
        <x:v>[]</x:v>
      </x:c>
    </x:row>
    <x:row r="133">
      <x:c r="A133" s="47" t="str">
        <x:v>Manual-70</x:v>
      </x:c>
      <x:c r="B133" s="47" t="str">
        <x:v>manual</x:v>
      </x:c>
      <x:c r="C133" s="47" t="str">
        <x:v>QUESTIONNAIRE_SCAN.pdf pp. 139–140</x:v>
      </x:c>
      <x:c r="D133" s="47" t="str">
        <x:v>Yes</x:v>
      </x:c>
      <x:c r="E133" s="47" t="str">
        <x:v>retained</x:v>
      </x:c>
      <x:c r="F133" s="47" t="str">
        <x:v>Yes</x:v>
      </x:c>
      <x:c r="G133" s="47" t="str"/>
      <x:c r="H133" s="47" t="str">
        <x:v>0</x:v>
      </x:c>
      <x:c r="I133" s="47" t="str"/>
      <x:c r="J133" s="47" t="str">
        <x:v>0</x:v>
      </x:c>
      <x:c r="K133" s="47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87898fe103874ed2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5" hidden="0" customWidth="1"/>
    <x:col min="4" max="4" width="74" hidden="0" customWidth="1"/>
  </x:cols>
  <x:sheetData>
    <x:row r="1" ht="15" hidden="0" customHeight="1">
      <x:c r="A1" s="19" t="str">
        <x:v>Section</x:v>
      </x:c>
      <x:c r="B1" s="19" t="str">
        <x:v>Variable</x:v>
      </x:c>
      <x:c r="C1" s="19" t="str">
        <x:v>Items / Values</x:v>
      </x:c>
      <x:c r="D1" s="19" t="str">
        <x:v>Rule or description</x:v>
      </x:c>
    </x:row>
    <x:row r="2" ht="15" hidden="0" customHeight="1">
      <x:c r="A2" s="25" t="str">
        <x:v>Profile</x:v>
      </x:c>
      <x:c r="B2" s="25" t="str">
        <x:v>response_id</x:v>
      </x:c>
      <x:c r="C2" s="25" t="str">
        <x:v>Anonymous identifier</x:v>
      </x:c>
      <x:c r="D2" s="25" t="str">
        <x:v>Manual or Digital source prefix.</x:v>
      </x:c>
    </x:row>
    <x:row r="3" ht="15" hidden="0" customHeight="1">
      <x:c r="A3" s="25" t="str">
        <x:v>Profile</x:v>
      </x:c>
      <x:c r="B3" s="25" t="str">
        <x:v>source</x:v>
      </x:c>
      <x:c r="C3" s="25" t="str">
        <x:v>manual; digital</x:v>
      </x:c>
      <x:c r="D3" s="25" t="str">
        <x:v>Collection mode.</x:v>
      </x:c>
    </x:row>
    <x:row r="4" ht="15" hidden="0" customHeight="1">
      <x:c r="A4" s="25" t="str">
        <x:v>Profile</x:v>
      </x:c>
      <x:c r="B4" s="25" t="str">
        <x:v>age_group</x:v>
      </x:c>
      <x:c r="C4" s="25" t="str">
        <x:v>Respondent-selected category</x:v>
      </x:c>
      <x:c r="D4" s="25" t="str">
        <x:v>Blank values remain missing.</x:v>
      </x:c>
    </x:row>
    <x:row r="5" ht="15" hidden="0" customHeight="1">
      <x:c r="A5" s="25" t="str">
        <x:v>Profile</x:v>
      </x:c>
      <x:c r="B5" s="25" t="str">
        <x:v>service_length</x:v>
      </x:c>
      <x:c r="C5" s="25" t="str">
        <x:v>Respondent-selected category</x:v>
      </x:c>
      <x:c r="D5" s="25" t="str">
        <x:v>Blank values remain missing.</x:v>
      </x:c>
    </x:row>
    <x:row r="6" ht="15" hidden="0" customHeight="1">
      <x:c r="A6" s="25" t="str">
        <x:v>Profile</x:v>
      </x:c>
      <x:c r="B6" s="25" t="str">
        <x:v>job_level</x:v>
      </x:c>
      <x:c r="C6" s="25" t="str">
        <x:v>Respondent-selected category</x:v>
      </x:c>
      <x:c r="D6" s="25" t="str">
        <x:v>Respondent-selected job category.</x:v>
      </x:c>
    </x:row>
    <x:row r="7" ht="15" hidden="0" customHeight="1">
      <x:c r="A7" s="25" t="str">
        <x:v>Process</x:v>
      </x:c>
      <x:c r="B7" s="25" t="str">
        <x:v>imputation_count</x:v>
      </x:c>
      <x:c r="C7" s="25" t="str">
        <x:v>0 or 1</x:v>
      </x:c>
      <x:c r="D7" s="25" t="str">
        <x:v>Documented approved item imputations.</x:v>
      </x:c>
    </x:row>
    <x:row r="8" ht="15" hidden="0" customHeight="1">
      <x:c r="A8" s="25" t="str">
        <x:v>Process</x:v>
      </x:c>
      <x:c r="B8" s="25" t="str">
        <x:v>flag_count</x:v>
      </x:c>
      <x:c r="C8" s="25" t="str">
        <x:v>0 or more</x:v>
      </x:c>
      <x:c r="D8" s="25" t="str">
        <x:v>Retained record flags.</x:v>
      </x:c>
    </x:row>
    <x:row r="9" ht="15" hidden="0" customHeight="1">
      <x:c r="A9" s="25" t="str">
        <x:v>Construct score</x:v>
      </x:c>
      <x:c r="B9" s="25" t="str">
        <x:v>Hybrid_Learning</x:v>
      </x:c>
      <x:c r="C9" s="25" t="str">
        <x:v>HL1, HL2, HL3, HL4, HL5, HL6, HL7</x:v>
      </x:c>
      <x:c r="D9" s="25" t="str">
        <x:v>Arithmetic mean of 7 items; higher = more positive reported perception.</x:v>
      </x:c>
    </x:row>
    <x:row r="10" ht="15" hidden="0" customHeight="1">
      <x:c r="A10" s="25" t="str">
        <x:v>Construct score</x:v>
      </x:c>
      <x:c r="B10" s="25" t="str">
        <x:v>Trainer_Competence</x:v>
      </x:c>
      <x:c r="C10" s="25" t="str">
        <x:v>TC1, TC2, TC3, TC4, TC5, TC6</x:v>
      </x:c>
      <x:c r="D10" s="25" t="str">
        <x:v>Arithmetic mean of 6 items; higher = more positive reported perception.</x:v>
      </x:c>
    </x:row>
    <x:row r="11" ht="15" hidden="0" customHeight="1">
      <x:c r="A11" s="25" t="str">
        <x:v>Construct score</x:v>
      </x:c>
      <x:c r="B11" s="25" t="str">
        <x:v>Learner_Engagement</x:v>
      </x:c>
      <x:c r="C11" s="25" t="str">
        <x:v>LE1, LE2, LE3, LE4, LE5, LE6</x:v>
      </x:c>
      <x:c r="D11" s="25" t="str">
        <x:v>Arithmetic mean of 6 items; higher = more positive reported perception.</x:v>
      </x:c>
    </x:row>
    <x:row r="12" ht="15" hidden="0" customHeight="1">
      <x:c r="A12" s="25" t="str">
        <x:v>Construct score</x:v>
      </x:c>
      <x:c r="B12" s="25" t="str">
        <x:v>Training_Effectiveness</x:v>
      </x:c>
      <x:c r="C12" s="25" t="str">
        <x:v>TE1, TE2, TE3, TE4, TE5, TE6, TE7</x:v>
      </x:c>
      <x:c r="D12" s="25" t="str">
        <x:v>Arithmetic mean of 7 items; higher = more positive reported perception.</x:v>
      </x:c>
    </x:row>
    <x:row r="13" ht="15" hidden="0" customHeight="1">
      <x:c r="A13" s="25" t="str">
        <x:v>Item</x:v>
      </x:c>
      <x:c r="B13" s="25" t="str">
        <x:v>HL1</x:v>
      </x:c>
      <x:c r="C13" s="25" t="str">
        <x:v>1–5</x:v>
      </x:c>
      <x:c r="D13" s="25" t="str">
        <x:v>The digital and face-to-face parts were one connected learning experience.</x:v>
      </x:c>
    </x:row>
    <x:row r="14" ht="15" hidden="0" customHeight="1">
      <x:c r="A14" s="25" t="str">
        <x:v>Item</x:v>
      </x:c>
      <x:c r="B14" s="25" t="str">
        <x:v>HL2</x:v>
      </x:c>
      <x:c r="C14" s="25" t="str">
        <x:v>1–5</x:v>
      </x:c>
      <x:c r="D14" s="25" t="str">
        <x:v>Digital activities prepared the respondent for face-to-face sessions.</x:v>
      </x:c>
    </x:row>
    <x:row r="15" ht="15" hidden="0" customHeight="1">
      <x:c r="A15" s="25" t="str">
        <x:v>Item</x:v>
      </x:c>
      <x:c r="B15" s="25" t="str">
        <x:v>HL3</x:v>
      </x:c>
      <x:c r="C15" s="25" t="str">
        <x:v>1–5</x:v>
      </x:c>
      <x:c r="D15" s="25" t="str">
        <x:v>Face-to-face sessions clarified or applied digital learning.</x:v>
      </x:c>
    </x:row>
    <x:row r="16" ht="15" hidden="0" customHeight="1">
      <x:c r="A16" s="25" t="str">
        <x:v>Item</x:v>
      </x:c>
      <x:c r="B16" s="25" t="str">
        <x:v>HL4</x:v>
      </x:c>
      <x:c r="C16" s="25" t="str">
        <x:v>1–5</x:v>
      </x:c>
      <x:c r="D16" s="25" t="str">
        <x:v>The digital platform was accessible without much difficulty.</x:v>
      </x:c>
    </x:row>
    <x:row r="17" ht="15" hidden="0" customHeight="1">
      <x:c r="A17" s="25" t="str">
        <x:v>Item</x:v>
      </x:c>
      <x:c r="B17" s="25" t="str">
        <x:v>HL5</x:v>
      </x:c>
      <x:c r="C17" s="25" t="str">
        <x:v>1–5</x:v>
      </x:c>
      <x:c r="D17" s="25" t="str">
        <x:v>The digital platform was easy to navigate.</x:v>
      </x:c>
    </x:row>
    <x:row r="18" ht="15" hidden="0" customHeight="1">
      <x:c r="A18" s="25" t="str">
        <x:v>Item</x:v>
      </x:c>
      <x:c r="B18" s="25" t="str">
        <x:v>HL6</x:v>
      </x:c>
      <x:c r="C18" s="25" t="str">
        <x:v>1–5</x:v>
      </x:c>
      <x:c r="D18" s="25" t="str">
        <x:v>Digital learning materials were available when needed.</x:v>
      </x:c>
    </x:row>
    <x:row r="19" ht="15" hidden="0" customHeight="1">
      <x:c r="A19" s="25" t="str">
        <x:v>Item</x:v>
      </x:c>
      <x:c r="B19" s="25" t="str">
        <x:v>HL7</x:v>
      </x:c>
      <x:c r="C19" s="25" t="str">
        <x:v>1–5</x:v>
      </x:c>
      <x:c r="D19" s="25" t="str">
        <x:v>Digital modules or materials could be revisited for revision.</x:v>
      </x:c>
    </x:row>
    <x:row r="20" ht="15" hidden="0" customHeight="1">
      <x:c r="A20" s="25" t="str">
        <x:v>Item</x:v>
      </x:c>
      <x:c r="B20" s="25" t="str">
        <x:v>TC1</x:v>
      </x:c>
      <x:c r="C20" s="25" t="str">
        <x:v>1–5</x:v>
      </x:c>
      <x:c r="D20" s="25" t="str">
        <x:v>The trainer had good subject knowledge.</x:v>
      </x:c>
    </x:row>
    <x:row r="21" ht="15" hidden="0" customHeight="1">
      <x:c r="A21" s="25" t="str">
        <x:v>Item</x:v>
      </x:c>
      <x:c r="B21" s="25" t="str">
        <x:v>TC2</x:v>
      </x:c>
      <x:c r="C21" s="25" t="str">
        <x:v>1–5</x:v>
      </x:c>
      <x:c r="D21" s="25" t="str">
        <x:v>The trainer explained content clearly.</x:v>
      </x:c>
    </x:row>
    <x:row r="22" ht="15" hidden="0" customHeight="1">
      <x:c r="A22" s="25" t="str">
        <x:v>Item</x:v>
      </x:c>
      <x:c r="B22" s="25" t="str">
        <x:v>TC3</x:v>
      </x:c>
      <x:c r="C22" s="25" t="str">
        <x:v>1–5</x:v>
      </x:c>
      <x:c r="D22" s="25" t="str">
        <x:v>The trainer explained how digital and face-to-face activities connected.</x:v>
      </x:c>
    </x:row>
    <x:row r="23" ht="15" hidden="0" customHeight="1">
      <x:c r="A23" s="25" t="str">
        <x:v>Item</x:v>
      </x:c>
      <x:c r="B23" s="25" t="str">
        <x:v>TC4</x:v>
      </x:c>
      <x:c r="C23" s="25" t="str">
        <x:v>1–5</x:v>
      </x:c>
      <x:c r="D23" s="25" t="str">
        <x:v>The trainer used programme digital tools effectively.</x:v>
      </x:c>
    </x:row>
    <x:row r="24" ht="15" hidden="0" customHeight="1">
      <x:c r="A24" s="25" t="str">
        <x:v>Item</x:v>
      </x:c>
      <x:c r="B24" s="25" t="str">
        <x:v>TC5</x:v>
      </x:c>
      <x:c r="C24" s="25" t="str">
        <x:v>1–5</x:v>
      </x:c>
      <x:c r="D24" s="25" t="str">
        <x:v>The trainer encouraged questions and participation.</x:v>
      </x:c>
    </x:row>
    <x:row r="25" ht="15" hidden="0" customHeight="1">
      <x:c r="A25" s="25" t="str">
        <x:v>Item</x:v>
      </x:c>
      <x:c r="B25" s="25" t="str">
        <x:v>TC6</x:v>
      </x:c>
      <x:c r="C25" s="25" t="str">
        <x:v>1–5</x:v>
      </x:c>
      <x:c r="D25" s="25" t="str">
        <x:v>The trainer gave helpful feedback.</x:v>
      </x:c>
    </x:row>
    <x:row r="26" ht="15" hidden="0" customHeight="1">
      <x:c r="A26" s="25" t="str">
        <x:v>Item</x:v>
      </x:c>
      <x:c r="B26" s="25" t="str">
        <x:v>LE1</x:v>
      </x:c>
      <x:c r="C26" s="25" t="str">
        <x:v>1–5</x:v>
      </x:c>
      <x:c r="D26" s="25" t="str">
        <x:v>The respondent stayed attentive during training activities.</x:v>
      </x:c>
    </x:row>
    <x:row r="27" ht="15" hidden="0" customHeight="1">
      <x:c r="A27" s="25" t="str">
        <x:v>Item</x:v>
      </x:c>
      <x:c r="B27" s="25" t="str">
        <x:v>LE2</x:v>
      </x:c>
      <x:c r="C27" s="25" t="str">
        <x:v>1–5</x:v>
      </x:c>
      <x:c r="D27" s="25" t="str">
        <x:v>The respondent made a serious effort to understand the content.</x:v>
      </x:c>
    </x:row>
    <x:row r="28" ht="15" hidden="0" customHeight="1">
      <x:c r="A28" s="25" t="str">
        <x:v>Item</x:v>
      </x:c>
      <x:c r="B28" s="25" t="str">
        <x:v>LE3</x:v>
      </x:c>
      <x:c r="C28" s="25" t="str">
        <x:v>1–5</x:v>
      </x:c>
      <x:c r="D28" s="25" t="str">
        <x:v>The respondent participated actively in activities.</x:v>
      </x:c>
    </x:row>
    <x:row r="29" ht="15" hidden="0" customHeight="1">
      <x:c r="A29" s="25" t="str">
        <x:v>Item</x:v>
      </x:c>
      <x:c r="B29" s="25" t="str">
        <x:v>LE4</x:v>
      </x:c>
      <x:c r="C29" s="25" t="str">
        <x:v>1–5</x:v>
      </x:c>
      <x:c r="D29" s="25" t="str">
        <x:v>The respondent felt involved in the learning process.</x:v>
      </x:c>
    </x:row>
    <x:row r="30" ht="15" hidden="0" customHeight="1">
      <x:c r="A30" s="25" t="str">
        <x:v>Item</x:v>
      </x:c>
      <x:c r="B30" s="25" t="str">
        <x:v>LE5</x:v>
      </x:c>
      <x:c r="C30" s="25" t="str">
        <x:v>1–5</x:v>
      </x:c>
      <x:c r="D30" s="25" t="str">
        <x:v>The respondent asked questions or sought clarification.</x:v>
      </x:c>
    </x:row>
    <x:row r="31" ht="15" hidden="0" customHeight="1">
      <x:c r="A31" s="25" t="str">
        <x:v>Item</x:v>
      </x:c>
      <x:c r="B31" s="25" t="str">
        <x:v>LE6</x:v>
      </x:c>
      <x:c r="C31" s="25" t="str">
        <x:v>1–5</x:v>
      </x:c>
      <x:c r="D31" s="25" t="str">
        <x:v>The respondent remained interested in completing the programme.</x:v>
      </x:c>
    </x:row>
    <x:row r="32" ht="15" hidden="0" customHeight="1">
      <x:c r="A32" s="25" t="str">
        <x:v>Item</x:v>
      </x:c>
      <x:c r="B32" s="25" t="str">
        <x:v>TE1</x:v>
      </x:c>
      <x:c r="C32" s="25" t="str">
        <x:v>1–5</x:v>
      </x:c>
      <x:c r="D32" s="25" t="str">
        <x:v>The respondent understood the main knowledge or skills.</x:v>
      </x:c>
    </x:row>
    <x:row r="33" ht="15" hidden="0" customHeight="1">
      <x:c r="A33" s="25" t="str">
        <x:v>Item</x:v>
      </x:c>
      <x:c r="B33" s="25" t="str">
        <x:v>TE2</x:v>
      </x:c>
      <x:c r="C33" s="25" t="str">
        <x:v>1–5</x:v>
      </x:c>
      <x:c r="D33" s="25" t="str">
        <x:v>The training provided useful knowledge or skills for the current role.</x:v>
      </x:c>
    </x:row>
    <x:row r="34" ht="15" hidden="0" customHeight="1">
      <x:c r="A34" s="25" t="str">
        <x:v>Item</x:v>
      </x:c>
      <x:c r="B34" s="25" t="str">
        <x:v>TE3</x:v>
      </x:c>
      <x:c r="C34" s="25" t="str">
        <x:v>1–5</x:v>
      </x:c>
      <x:c r="D34" s="25" t="str">
        <x:v>The programme content was relevant to Bank work.</x:v>
      </x:c>
    </x:row>
    <x:row r="35" ht="15" hidden="0" customHeight="1">
      <x:c r="A35" s="25" t="str">
        <x:v>Item</x:v>
      </x:c>
      <x:c r="B35" s="25" t="str">
        <x:v>TE4</x:v>
      </x:c>
      <x:c r="C35" s="25" t="str">
        <x:v>1–5</x:v>
      </x:c>
      <x:c r="D35" s="25" t="str">
        <x:v>The respondent felt capable of using the taught knowledge or skills.</x:v>
      </x:c>
    </x:row>
    <x:row r="36" ht="15" hidden="0" customHeight="1">
      <x:c r="A36" s="25" t="str">
        <x:v>Item</x:v>
      </x:c>
      <x:c r="B36" s="25" t="str">
        <x:v>TE5</x:v>
      </x:c>
      <x:c r="C36" s="25" t="str">
        <x:v>1–5</x:v>
      </x:c>
      <x:c r="D36" s="25" t="str">
        <x:v>The respondent applied learning in day-to-day work.</x:v>
      </x:c>
    </x:row>
    <x:row r="37" ht="15" hidden="0" customHeight="1">
      <x:c r="A37" s="25" t="str">
        <x:v>Item</x:v>
      </x:c>
      <x:c r="B37" s="25" t="str">
        <x:v>TE6</x:v>
      </x:c>
      <x:c r="C37" s="25" t="str">
        <x:v>1–5</x:v>
      </x:c>
      <x:c r="D37" s="25" t="str">
        <x:v>The programme helped with relevant work tasks or problems.</x:v>
      </x:c>
    </x:row>
    <x:row r="38" ht="15" hidden="0" customHeight="1">
      <x:c r="A38" s="25" t="str">
        <x:v>Item</x:v>
      </x:c>
      <x:c r="B38" s="25" t="str">
        <x:v>TE7</x:v>
      </x:c>
      <x:c r="C38" s="25" t="str">
        <x:v>1–5</x:v>
      </x:c>
      <x:c r="D38" s="25" t="str">
        <x:v>The programme improved confidence in relevant work responsibilities.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6" max="6" width="19" hidden="0" customWidth="1"/>
    <x:col min="7" max="7" width="12" hidden="0" customWidth="1"/>
    <x:col min="8" max="8" width="12" hidden="0" customWidth="1"/>
    <x:col min="11" max="11" width="16" hidden="0" customWidth="1"/>
    <x:col min="12" max="12" width="12" hidden="0" customWidth="1"/>
    <x:col min="13" max="13" width="12" hidden="0" customWidth="1"/>
  </x:cols>
  <x:sheetData>
    <x:row r="1">
      <x:c r="A1" s="1" t="str">
        <x:v>Respondent Profile</x:v>
      </x:c>
    </x:row>
    <x:row r="2">
      <x:c r="A2" s="2" t="str">
        <x:v>Percentages for profile categories use valid responses for that specific question.</x:v>
      </x:c>
    </x:row>
    <x:row r="3">
      <x:c r="A3" s="62" t="str">
        <x:v>Age group</x:v>
      </x:c>
      <x:c r="B3" s="62" t="str">
        <x:v>Frequency</x:v>
      </x:c>
      <x:c r="C3" s="62" t="str">
        <x:v>Percentage</x:v>
      </x:c>
      <x:c r="F3" s="62" t="str">
        <x:v>Length of service</x:v>
      </x:c>
      <x:c r="G3" s="62" t="str">
        <x:v>Frequency</x:v>
      </x:c>
      <x:c r="H3" s="62" t="str">
        <x:v>Percentage</x:v>
      </x:c>
      <x:c r="K3" s="62" t="str">
        <x:v>Job level</x:v>
      </x:c>
      <x:c r="L3" s="62" t="str">
        <x:v>Frequency</x:v>
      </x:c>
      <x:c r="M3" s="62" t="str">
        <x:v>Percentage</x:v>
      </x:c>
    </x:row>
    <x:row r="4">
      <x:c r="A4" s="20" t="str">
        <x:v>25–34</x:v>
      </x:c>
      <x:c r="B4" s="20" t="n">
        <x:f>COUNTIF('Eligible Data'!$C$2:$C$106,A4)</x:f>
        <x:v>30</x:v>
      </x:c>
      <x:c r="C4" s="63" t="n">
        <x:f>B4/SUM($B$4:$B$7)</x:f>
        <x:v>0.2912621359223301</x:v>
      </x:c>
      <x:c r="F4" s="20" t="str">
        <x:v>Below 5 years</x:v>
      </x:c>
      <x:c r="G4" s="20" t="n">
        <x:f>COUNTIF('Eligible Data'!$D$2:$D$106,F4)</x:f>
        <x:v>8</x:v>
      </x:c>
      <x:c r="H4" s="63" t="n">
        <x:f>G4/SUM($G$4:$G$7)</x:f>
        <x:v>0.07766990291262135</x:v>
      </x:c>
      <x:c r="K4" s="20" t="str">
        <x:v>Clerical</x:v>
      </x:c>
      <x:c r="L4" s="20" t="n">
        <x:f>COUNTIF('Eligible Data'!$E$2:$E$106,K4)</x:f>
        <x:v>20</x:v>
      </x:c>
      <x:c r="M4" s="63" t="n">
        <x:f>L4/SUM($L$4:$L$6)</x:f>
        <x:v>0.1941747572815534</x:v>
      </x:c>
    </x:row>
    <x:row r="5">
      <x:c r="A5" s="20" t="str">
        <x:v>35–44</x:v>
      </x:c>
      <x:c r="B5" s="20" t="n">
        <x:f>COUNTIF('Eligible Data'!$C$2:$C$106,A5)</x:f>
        <x:v>56</x:v>
      </x:c>
      <x:c r="C5" s="63" t="n">
        <x:f>B5/SUM($B$4:$B$7)</x:f>
        <x:v>0.5436893203883495</x:v>
      </x:c>
      <x:c r="F5" s="20" t="str">
        <x:v>5–10 years</x:v>
      </x:c>
      <x:c r="G5" s="20" t="n">
        <x:f>COUNTIF('Eligible Data'!$D$2:$D$106,F5)</x:f>
        <x:v>29</x:v>
      </x:c>
      <x:c r="H5" s="63" t="n">
        <x:f>G5/SUM($G$4:$G$7)</x:f>
        <x:v>0.2815533980582524</x:v>
      </x:c>
      <x:c r="K5" s="20" t="str">
        <x:v>Officer</x:v>
      </x:c>
      <x:c r="L5" s="20" t="n">
        <x:f>COUNTIF('Eligible Data'!$E$2:$E$106,K5)</x:f>
        <x:v>57</x:v>
      </x:c>
      <x:c r="M5" s="63" t="n">
        <x:f>L5/SUM($L$4:$L$6)</x:f>
        <x:v>0.5533980582524272</x:v>
      </x:c>
    </x:row>
    <x:row r="6">
      <x:c r="A6" s="20" t="str">
        <x:v>45–54</x:v>
      </x:c>
      <x:c r="B6" s="20" t="n">
        <x:f>COUNTIF('Eligible Data'!$C$2:$C$106,A6)</x:f>
        <x:v>13</x:v>
      </x:c>
      <x:c r="C6" s="63" t="n">
        <x:f>B6/SUM($B$4:$B$7)</x:f>
        <x:v>0.1262135922330097</x:v>
      </x:c>
      <x:c r="F6" s="20" t="str">
        <x:v>11–20 years</x:v>
      </x:c>
      <x:c r="G6" s="20" t="n">
        <x:f>COUNTIF('Eligible Data'!$D$2:$D$106,F6)</x:f>
        <x:v>56</x:v>
      </x:c>
      <x:c r="H6" s="63" t="n">
        <x:f>G6/SUM($G$4:$G$7)</x:f>
        <x:v>0.5436893203883495</x:v>
      </x:c>
      <x:c r="K6" s="20" t="str">
        <x:v>Managerial</x:v>
      </x:c>
      <x:c r="L6" s="20" t="n">
        <x:f>COUNTIF('Eligible Data'!$E$2:$E$106,K6)</x:f>
        <x:v>26</x:v>
      </x:c>
      <x:c r="M6" s="63" t="n">
        <x:f>L6/SUM($L$4:$L$6)</x:f>
        <x:v>0.2524271844660194</x:v>
      </x:c>
    </x:row>
    <x:row r="7">
      <x:c r="A7" s="20" t="str">
        <x:v>55 and above</x:v>
      </x:c>
      <x:c r="B7" s="20" t="n">
        <x:f>COUNTIF('Eligible Data'!$C$2:$C$106,A7)</x:f>
        <x:v>4</x:v>
      </x:c>
      <x:c r="C7" s="63" t="n">
        <x:f>B7/SUM($B$4:$B$7)</x:f>
        <x:v>0.038834951456310676</x:v>
      </x:c>
      <x:c r="F7" s="20" t="str">
        <x:v>Above 20 years</x:v>
      </x:c>
      <x:c r="G7" s="20" t="n">
        <x:f>COUNTIF('Eligible Data'!$D$2:$D$106,F7)</x:f>
        <x:v>10</x:v>
      </x:c>
      <x:c r="H7" s="63" t="n">
        <x:f>G7/SUM($G$4:$G$7)</x:f>
        <x:v>0.0970873786407767</x:v>
      </x:c>
      <x:c r="K7" s="20" t="str">
        <x:v>Missing</x:v>
      </x:c>
      <x:c r="L7" s="20" t="n">
        <x:f>COUNTBLANK('Eligible Data'!$E$2:$E$106)</x:f>
        <x:v>2</x:v>
      </x:c>
      <x:c r="M7" s="63" t="n">
        <x:f>L7/105</x:f>
        <x:v>0.01904761904761905</x:v>
      </x:c>
    </x:row>
    <x:row r="8">
      <x:c r="A8" s="20" t="str">
        <x:v>Missing</x:v>
      </x:c>
      <x:c r="B8" s="20" t="n">
        <x:f>COUNTBLANK('Eligible Data'!$C$2:$C$106)</x:f>
        <x:v>2</x:v>
      </x:c>
      <x:c r="C8" s="63" t="n">
        <x:f>B8/105</x:f>
        <x:v>0.01904761904761905</x:v>
      </x:c>
      <x:c r="F8" s="20" t="str">
        <x:v>Missing</x:v>
      </x:c>
      <x:c r="G8" s="20" t="n">
        <x:f>COUNTBLANK('Eligible Data'!$D$2:$D$106)</x:f>
        <x:v>2</x:v>
      </x:c>
      <x:c r="H8" s="63" t="n">
        <x:f>G8/105</x:f>
        <x:v>0.01904761904761905</x:v>
      </x:c>
      <x:c r="K8" s="20" t="str">
        <x:v>Valid responses</x:v>
      </x:c>
      <x:c r="L8" s="20" t="n">
        <x:f>SUM(L4:L6)</x:f>
        <x:v>103</x:v>
      </x:c>
      <x:c r="M8" s="20"/>
    </x:row>
    <x:row r="9">
      <x:c r="A9" s="20" t="str">
        <x:v>Valid responses</x:v>
      </x:c>
      <x:c r="B9" s="20" t="n">
        <x:f>SUM(B4:B7)</x:f>
        <x:v>103</x:v>
      </x:c>
      <x:c r="C9" s="20"/>
      <x:c r="F9" s="20" t="str">
        <x:v>Valid responses</x:v>
      </x:c>
      <x:c r="G9" s="20" t="n">
        <x:f>SUM(G4:G7)</x:f>
        <x:v>103</x:v>
      </x:c>
      <x:c r="H9" s="20"/>
      <x:c r="K9" s="20"/>
      <x:c r="L9" s="20"/>
      <x:c r="M9" s="20"/>
    </x:row>
    <x:row r="10">
      <x:c r="A10" s="20"/>
      <x:c r="B10" s="20"/>
      <x:c r="C10" s="20"/>
      <x:c r="F10" s="20"/>
      <x:c r="G10" s="20"/>
      <x:c r="H10" s="20"/>
    </x:row>
  </x:sheetData>
  <x:pageMargins left="0.7" right="0.7" top="0.75" bottom="0.75" header="0.3" footer="0.3"/>
  <x:drawing xmlns:r="http://schemas.openxmlformats.org/officeDocument/2006/relationships" r:id="R334c39afcc554c4f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" t="str">
        <x:v>Construct Descriptive Statistics</x:v>
      </x:c>
    </x:row>
    <x:row r="2">
      <x:c r="A2" s="2" t="str">
        <x:v>Construct scores are arithmetic means of their assigned 1–5 Likert items.</x:v>
      </x:c>
    </x:row>
    <x:row r="3">
      <x:c r="A3" s="62" t="str">
        <x:v>Construct</x:v>
      </x:c>
      <x:c r="B3" s="62" t="str">
        <x:v>Items</x:v>
      </x:c>
      <x:c r="C3" s="62" t="str">
        <x:v>Mean</x:v>
      </x:c>
      <x:c r="D3" s="62" t="str">
        <x:v>Standard deviation</x:v>
      </x:c>
      <x:c r="E3" s="62" t="str">
        <x:v>Rank</x:v>
      </x:c>
    </x:row>
    <x:row r="4">
      <x:c r="A4" s="20" t="str">
        <x:v>Learner Engagement</x:v>
      </x:c>
      <x:c r="B4" s="20" t="n">
        <x:v>6</x:v>
      </x:c>
      <x:c r="C4" s="64" t="n">
        <x:f>AVERAGE('Eligible Data'!AJ$2:AJ$106)</x:f>
        <x:v>4.302588996763754</x:v>
      </x:c>
      <x:c r="D4" s="64" t="n">
        <x:f>STDEV.S('Eligible Data'!AJ$2:AJ$106)</x:f>
        <x:v>0.8022801020217095</x:v>
      </x:c>
      <x:c r="E4" s="20" t="n">
        <x:v>1</x:v>
      </x:c>
    </x:row>
    <x:row r="5">
      <x:c r="A5" s="20" t="str">
        <x:v>Training Effectiveness</x:v>
      </x:c>
      <x:c r="B5" s="20" t="n">
        <x:v>7</x:v>
      </x:c>
      <x:c r="C5" s="64" t="n">
        <x:f>AVERAGE('Eligible Data'!AK$2:AK$106)</x:f>
        <x:v>4.237170596393898</x:v>
      </x:c>
      <x:c r="D5" s="64" t="n">
        <x:f>STDEV.S('Eligible Data'!AK$2:AK$106)</x:f>
        <x:v>0.847412887950359</x:v>
      </x:c>
      <x:c r="E5" s="20" t="n">
        <x:v>2</x:v>
      </x:c>
    </x:row>
    <x:row r="6">
      <x:c r="A6" s="20" t="str">
        <x:v>Trainer Competence</x:v>
      </x:c>
      <x:c r="B6" s="20" t="n">
        <x:v>6</x:v>
      </x:c>
      <x:c r="C6" s="64" t="n">
        <x:f>AVERAGE('Eligible Data'!AI$2:AI$106)</x:f>
        <x:v>4.161812297734628</x:v>
      </x:c>
      <x:c r="D6" s="64" t="n">
        <x:f>STDEV.S('Eligible Data'!AI$2:AI$106)</x:f>
        <x:v>0.8598577144162766</x:v>
      </x:c>
      <x:c r="E6" s="20" t="n">
        <x:v>3</x:v>
      </x:c>
    </x:row>
    <x:row r="7">
      <x:c r="A7" s="20" t="str">
        <x:v>Hybrid Learning</x:v>
      </x:c>
      <x:c r="B7" s="20" t="n">
        <x:v>7</x:v>
      </x:c>
      <x:c r="C7" s="64" t="n">
        <x:f>AVERAGE('Eligible Data'!AH$2:AH$106)</x:f>
        <x:v>4.144244105409153</x:v>
      </x:c>
      <x:c r="D7" s="64" t="n">
        <x:f>STDEV.S('Eligible Data'!AH$2:AH$106)</x:f>
        <x:v>0.8528123907647945</x:v>
      </x:c>
      <x:c r="E7" s="20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56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" t="str">
        <x:v>Item Descriptive Statistics</x:v>
      </x:c>
    </x:row>
    <x:row r="2">
      <x:c r="A2" s="2" t="str">
        <x:v>Means and standard deviations use all 105 eligible records, including two documented imputed values.</x:v>
      </x:c>
    </x:row>
    <x:row r="3" ht="15" hidden="0" customHeight="1">
      <x:c r="A3" s="62" t="str">
        <x:v>Construct</x:v>
      </x:c>
      <x:c r="B3" s="62" t="str">
        <x:v>Item</x:v>
      </x:c>
      <x:c r="C3" s="62" t="str">
        <x:v>Statement</x:v>
      </x:c>
      <x:c r="D3" s="62" t="str">
        <x:v>N</x:v>
      </x:c>
      <x:c r="E3" s="62" t="str">
        <x:v>Mean</x:v>
      </x:c>
      <x:c r="F3" s="62" t="str">
        <x:v>Standard deviation</x:v>
      </x:c>
    </x:row>
    <x:row r="4" ht="15" hidden="0" customHeight="1">
      <x:c r="A4" s="25" t="str">
        <x:v>Hybrid Learning</x:v>
      </x:c>
      <x:c r="B4" s="25" t="str">
        <x:v>HL1</x:v>
      </x:c>
      <x:c r="C4" s="25" t="str">
        <x:v>The digital and face-to-face parts were one connected learning experience.</x:v>
      </x:c>
      <x:c r="D4" s="66" t="n">
        <x:f>COUNT('Eligible Data'!H$2:H$106)</x:f>
        <x:v>103</x:v>
      </x:c>
      <x:c r="E4" s="67" t="n">
        <x:f>AVERAGE('Eligible Data'!H$2:H$106)</x:f>
        <x:v>4.097087378640777</x:v>
      </x:c>
      <x:c r="F4" s="67" t="n">
        <x:f>STDEV.S('Eligible Data'!H$2:H$106)</x:f>
        <x:v>0.9652243781283479</x:v>
      </x:c>
    </x:row>
    <x:row r="5" ht="15" hidden="0" customHeight="1">
      <x:c r="A5" s="25" t="str">
        <x:v>Hybrid Learning</x:v>
      </x:c>
      <x:c r="B5" s="25" t="str">
        <x:v>HL2</x:v>
      </x:c>
      <x:c r="C5" s="25" t="str">
        <x:v>Digital activities prepared the respondent for face-to-face sessions.</x:v>
      </x:c>
      <x:c r="D5" s="66" t="n">
        <x:f>COUNT('Eligible Data'!I$2:I$106)</x:f>
        <x:v>103</x:v>
      </x:c>
      <x:c r="E5" s="67" t="n">
        <x:f>AVERAGE('Eligible Data'!I$2:I$106)</x:f>
        <x:v>3.9805825242718447</x:v>
      </x:c>
      <x:c r="F5" s="67" t="n">
        <x:f>STDEV.S('Eligible Data'!I$2:I$106)</x:f>
        <x:v>0.9391337531780392</x:v>
      </x:c>
    </x:row>
    <x:row r="6" ht="15" hidden="0" customHeight="1">
      <x:c r="A6" s="25" t="str">
        <x:v>Hybrid Learning</x:v>
      </x:c>
      <x:c r="B6" s="25" t="str">
        <x:v>HL3</x:v>
      </x:c>
      <x:c r="C6" s="25" t="str">
        <x:v>Face-to-face sessions clarified or applied digital learning.</x:v>
      </x:c>
      <x:c r="D6" s="66" t="n">
        <x:f>COUNT('Eligible Data'!J$2:J$106)</x:f>
        <x:v>103</x:v>
      </x:c>
      <x:c r="E6" s="67" t="n">
        <x:f>AVERAGE('Eligible Data'!J$2:J$106)</x:f>
        <x:v>4.165048543689321</x:v>
      </x:c>
      <x:c r="F6" s="67" t="n">
        <x:f>STDEV.S('Eligible Data'!J$2:J$106)</x:f>
        <x:v>0.9507178647762545</x:v>
      </x:c>
    </x:row>
    <x:row r="7" ht="15" hidden="0" customHeight="1">
      <x:c r="A7" s="25" t="str">
        <x:v>Hybrid Learning</x:v>
      </x:c>
      <x:c r="B7" s="25" t="str">
        <x:v>HL4</x:v>
      </x:c>
      <x:c r="C7" s="25" t="str">
        <x:v>The digital platform was accessible without much difficulty.</x:v>
      </x:c>
      <x:c r="D7" s="66" t="n">
        <x:f>COUNT('Eligible Data'!K$2:K$106)</x:f>
        <x:v>103</x:v>
      </x:c>
      <x:c r="E7" s="67" t="n">
        <x:f>AVERAGE('Eligible Data'!K$2:K$106)</x:f>
        <x:v>4.184466019417476</x:v>
      </x:c>
      <x:c r="F7" s="67" t="n">
        <x:f>STDEV.S('Eligible Data'!K$2:K$106)</x:f>
        <x:v>0.9047540323911887</x:v>
      </x:c>
    </x:row>
    <x:row r="8" ht="15" hidden="0" customHeight="1">
      <x:c r="A8" s="25" t="str">
        <x:v>Hybrid Learning</x:v>
      </x:c>
      <x:c r="B8" s="25" t="str">
        <x:v>HL5</x:v>
      </x:c>
      <x:c r="C8" s="25" t="str">
        <x:v>The digital platform was easy to navigate.</x:v>
      </x:c>
      <x:c r="D8" s="66" t="n">
        <x:f>COUNT('Eligible Data'!L$2:L$106)</x:f>
        <x:v>103</x:v>
      </x:c>
      <x:c r="E8" s="67" t="n">
        <x:f>AVERAGE('Eligible Data'!L$2:L$106)</x:f>
        <x:v>4.106796116504855</x:v>
      </x:c>
      <x:c r="F8" s="67" t="n">
        <x:f>STDEV.S('Eligible Data'!L$2:L$106)</x:f>
        <x:v>1.00890759559801</x:v>
      </x:c>
    </x:row>
    <x:row r="9" ht="15" hidden="0" customHeight="1">
      <x:c r="A9" s="25" t="str">
        <x:v>Hybrid Learning</x:v>
      </x:c>
      <x:c r="B9" s="25" t="str">
        <x:v>HL6</x:v>
      </x:c>
      <x:c r="C9" s="25" t="str">
        <x:v>Digital learning materials were available when needed.</x:v>
      </x:c>
      <x:c r="D9" s="66" t="n">
        <x:f>COUNT('Eligible Data'!M$2:M$106)</x:f>
        <x:v>103</x:v>
      </x:c>
      <x:c r="E9" s="67" t="n">
        <x:f>AVERAGE('Eligible Data'!M$2:M$106)</x:f>
        <x:v>4.223300970873787</x:v>
      </x:c>
      <x:c r="F9" s="67" t="n">
        <x:f>STDEV.S('Eligible Data'!M$2:M$106)</x:f>
        <x:v>0.9386268530746252</x:v>
      </x:c>
    </x:row>
    <x:row r="10" ht="15" hidden="0" customHeight="1">
      <x:c r="A10" s="25" t="str">
        <x:v>Hybrid Learning</x:v>
      </x:c>
      <x:c r="B10" s="25" t="str">
        <x:v>HL7</x:v>
      </x:c>
      <x:c r="C10" s="25" t="str">
        <x:v>Digital modules or materials could be revisited for revision.</x:v>
      </x:c>
      <x:c r="D10" s="66" t="n">
        <x:f>COUNT('Eligible Data'!N$2:N$106)</x:f>
        <x:v>103</x:v>
      </x:c>
      <x:c r="E10" s="67" t="n">
        <x:f>AVERAGE('Eligible Data'!N$2:N$106)</x:f>
        <x:v>4.252427184466019</x:v>
      </x:c>
      <x:c r="F10" s="67" t="n">
        <x:f>STDEV.S('Eligible Data'!N$2:N$106)</x:f>
        <x:v>0.9044383654516314</x:v>
      </x:c>
    </x:row>
    <x:row r="11" ht="15" hidden="0" customHeight="1">
      <x:c r="A11" s="25" t="str">
        <x:v>Trainer Competence</x:v>
      </x:c>
      <x:c r="B11" s="25" t="str">
        <x:v>TC1</x:v>
      </x:c>
      <x:c r="C11" s="25" t="str">
        <x:v>The trainer had good subject knowledge.</x:v>
      </x:c>
      <x:c r="D11" s="66" t="n">
        <x:f>COUNT('Eligible Data'!O$2:O$106)</x:f>
        <x:v>103</x:v>
      </x:c>
      <x:c r="E11" s="67" t="n">
        <x:f>AVERAGE('Eligible Data'!O$2:O$106)</x:f>
        <x:v>4.203883495145631</x:v>
      </x:c>
      <x:c r="F11" s="67" t="n">
        <x:f>STDEV.S('Eligible Data'!O$2:O$106)</x:f>
        <x:v>0.9005360419017848</x:v>
      </x:c>
    </x:row>
    <x:row r="12" ht="15" hidden="0" customHeight="1">
      <x:c r="A12" s="25" t="str">
        <x:v>Trainer Competence</x:v>
      </x:c>
      <x:c r="B12" s="25" t="str">
        <x:v>TC2</x:v>
      </x:c>
      <x:c r="C12" s="25" t="str">
        <x:v>The trainer explained content clearly.</x:v>
      </x:c>
      <x:c r="D12" s="66" t="n">
        <x:f>COUNT('Eligible Data'!P$2:P$106)</x:f>
        <x:v>103</x:v>
      </x:c>
      <x:c r="E12" s="67" t="n">
        <x:f>AVERAGE('Eligible Data'!P$2:P$106)</x:f>
        <x:v>4.223300970873787</x:v>
      </x:c>
      <x:c r="F12" s="67" t="n">
        <x:f>STDEV.S('Eligible Data'!P$2:P$106)</x:f>
        <x:v>0.9281231201599918</x:v>
      </x:c>
    </x:row>
    <x:row r="13" ht="15" hidden="0" customHeight="1">
      <x:c r="A13" s="25" t="str">
        <x:v>Trainer Competence</x:v>
      </x:c>
      <x:c r="B13" s="25" t="str">
        <x:v>TC3</x:v>
      </x:c>
      <x:c r="C13" s="25" t="str">
        <x:v>The trainer explained how digital and face-to-face activities connected.</x:v>
      </x:c>
      <x:c r="D13" s="66" t="n">
        <x:f>COUNT('Eligible Data'!Q$2:Q$106)</x:f>
        <x:v>103</x:v>
      </x:c>
      <x:c r="E13" s="67" t="n">
        <x:f>AVERAGE('Eligible Data'!Q$2:Q$106)</x:f>
        <x:v>4.097087378640777</x:v>
      </x:c>
      <x:c r="F13" s="67" t="n">
        <x:f>STDEV.S('Eligible Data'!Q$2:Q$106)</x:f>
        <x:v>0.9022256044414432</x:v>
      </x:c>
    </x:row>
    <x:row r="14" ht="15" hidden="0" customHeight="1">
      <x:c r="A14" s="25" t="str">
        <x:v>Trainer Competence</x:v>
      </x:c>
      <x:c r="B14" s="25" t="str">
        <x:v>TC4</x:v>
      </x:c>
      <x:c r="C14" s="25" t="str">
        <x:v>The trainer used programme digital tools effectively.</x:v>
      </x:c>
      <x:c r="D14" s="66" t="n">
        <x:f>COUNT('Eligible Data'!R$2:R$106)</x:f>
        <x:v>103</x:v>
      </x:c>
      <x:c r="E14" s="67" t="n">
        <x:f>AVERAGE('Eligible Data'!R$2:R$106)</x:f>
        <x:v>4.145631067961165</x:v>
      </x:c>
      <x:c r="F14" s="67" t="n">
        <x:f>STDEV.S('Eligible Data'!R$2:R$106)</x:f>
        <x:v>0.9225685264977033</x:v>
      </x:c>
    </x:row>
    <x:row r="15" ht="15" hidden="0" customHeight="1">
      <x:c r="A15" s="25" t="str">
        <x:v>Trainer Competence</x:v>
      </x:c>
      <x:c r="B15" s="25" t="str">
        <x:v>TC5</x:v>
      </x:c>
      <x:c r="C15" s="25" t="str">
        <x:v>The trainer encouraged questions and participation.</x:v>
      </x:c>
      <x:c r="D15" s="66" t="n">
        <x:f>COUNT('Eligible Data'!S$2:S$106)</x:f>
        <x:v>103</x:v>
      </x:c>
      <x:c r="E15" s="67" t="n">
        <x:f>AVERAGE('Eligible Data'!S$2:S$106)</x:f>
        <x:v>4.213592233009709</x:v>
      </x:c>
      <x:c r="F15" s="67" t="n">
        <x:f>STDEV.S('Eligible Data'!S$2:S$106)</x:f>
        <x:v>0.9037013804554708</x:v>
      </x:c>
    </x:row>
    <x:row r="16" ht="15" hidden="0" customHeight="1">
      <x:c r="A16" s="25" t="str">
        <x:v>Trainer Competence</x:v>
      </x:c>
      <x:c r="B16" s="25" t="str">
        <x:v>TC6</x:v>
      </x:c>
      <x:c r="C16" s="25" t="str">
        <x:v>The trainer gave helpful feedback.</x:v>
      </x:c>
      <x:c r="D16" s="66" t="n">
        <x:f>COUNT('Eligible Data'!T$2:T$106)</x:f>
        <x:v>103</x:v>
      </x:c>
      <x:c r="E16" s="67" t="n">
        <x:f>AVERAGE('Eligible Data'!T$2:T$106)</x:f>
        <x:v>4.087378640776699</x:v>
      </x:c>
      <x:c r="F16" s="67" t="n">
        <x:f>STDEV.S('Eligible Data'!T$2:T$106)</x:f>
        <x:v>0.9812636522492736</x:v>
      </x:c>
    </x:row>
    <x:row r="17" ht="15" hidden="0" customHeight="1">
      <x:c r="A17" s="25" t="str">
        <x:v>Learner Engagement</x:v>
      </x:c>
      <x:c r="B17" s="25" t="str">
        <x:v>LE1</x:v>
      </x:c>
      <x:c r="C17" s="25" t="str">
        <x:v>The respondent stayed attentive during training activities.</x:v>
      </x:c>
      <x:c r="D17" s="66" t="n">
        <x:f>COUNT('Eligible Data'!U$2:U$106)</x:f>
        <x:v>103</x:v>
      </x:c>
      <x:c r="E17" s="67" t="n">
        <x:f>AVERAGE('Eligible Data'!U$2:U$106)</x:f>
        <x:v>4.271844660194175</x:v>
      </x:c>
      <x:c r="F17" s="67" t="n">
        <x:f>STDEV.S('Eligible Data'!U$2:U$106)</x:f>
        <x:v>0.9413608709514449</x:v>
      </x:c>
    </x:row>
    <x:row r="18" ht="15" hidden="0" customHeight="1">
      <x:c r="A18" s="25" t="str">
        <x:v>Learner Engagement</x:v>
      </x:c>
      <x:c r="B18" s="25" t="str">
        <x:v>LE2</x:v>
      </x:c>
      <x:c r="C18" s="25" t="str">
        <x:v>The respondent made a serious effort to understand the content.</x:v>
      </x:c>
      <x:c r="D18" s="66" t="n">
        <x:f>COUNT('Eligible Data'!V$2:V$106)</x:f>
        <x:v>103</x:v>
      </x:c>
      <x:c r="E18" s="67" t="n">
        <x:f>AVERAGE('Eligible Data'!V$2:V$106)</x:f>
        <x:v>4.29126213592233</x:v>
      </x:c>
      <x:c r="F18" s="67" t="n">
        <x:f>STDEV.S('Eligible Data'!V$2:V$106)</x:f>
        <x:v>0.9142774706598514</x:v>
      </x:c>
    </x:row>
    <x:row r="19" ht="15" hidden="0" customHeight="1">
      <x:c r="A19" s="25" t="str">
        <x:v>Learner Engagement</x:v>
      </x:c>
      <x:c r="B19" s="25" t="str">
        <x:v>LE3</x:v>
      </x:c>
      <x:c r="C19" s="25" t="str">
        <x:v>The respondent participated actively in activities.</x:v>
      </x:c>
      <x:c r="D19" s="66" t="n">
        <x:f>COUNT('Eligible Data'!W$2:W$106)</x:f>
        <x:v>103</x:v>
      </x:c>
      <x:c r="E19" s="67" t="n">
        <x:f>AVERAGE('Eligible Data'!W$2:W$106)</x:f>
        <x:v>4.281553398058253</x:v>
      </x:c>
      <x:c r="F19" s="67" t="n">
        <x:f>STDEV.S('Eligible Data'!W$2:W$106)</x:f>
        <x:v>0.8565488863279861</x:v>
      </x:c>
    </x:row>
    <x:row r="20" ht="15" hidden="0" customHeight="1">
      <x:c r="A20" s="25" t="str">
        <x:v>Learner Engagement</x:v>
      </x:c>
      <x:c r="B20" s="25" t="str">
        <x:v>LE4</x:v>
      </x:c>
      <x:c r="C20" s="25" t="str">
        <x:v>The respondent felt involved in the learning process.</x:v>
      </x:c>
      <x:c r="D20" s="66" t="n">
        <x:f>COUNT('Eligible Data'!X$2:X$106)</x:f>
        <x:v>103</x:v>
      </x:c>
      <x:c r="E20" s="67" t="n">
        <x:f>AVERAGE('Eligible Data'!X$2:X$106)</x:f>
        <x:v>4.359223300970874</x:v>
      </x:c>
      <x:c r="F20" s="67" t="n">
        <x:f>STDEV.S('Eligible Data'!X$2:X$106)</x:f>
        <x:v>0.7903135259222531</x:v>
      </x:c>
    </x:row>
    <x:row r="21" ht="15" hidden="0" customHeight="1">
      <x:c r="A21" s="25" t="str">
        <x:v>Learner Engagement</x:v>
      </x:c>
      <x:c r="B21" s="25" t="str">
        <x:v>LE5</x:v>
      </x:c>
      <x:c r="C21" s="25" t="str">
        <x:v>The respondent asked questions or sought clarification.</x:v>
      </x:c>
      <x:c r="D21" s="66" t="n">
        <x:f>COUNT('Eligible Data'!Y$2:Y$106)</x:f>
        <x:v>103</x:v>
      </x:c>
      <x:c r="E21" s="67" t="n">
        <x:f>AVERAGE('Eligible Data'!Y$2:Y$106)</x:f>
        <x:v>4.252427184466019</x:v>
      </x:c>
      <x:c r="F21" s="67" t="n">
        <x:f>STDEV.S('Eligible Data'!Y$2:Y$106)</x:f>
        <x:v>0.8824925329011623</x:v>
      </x:c>
    </x:row>
    <x:row r="22" ht="15" hidden="0" customHeight="1">
      <x:c r="A22" s="25" t="str">
        <x:v>Learner Engagement</x:v>
      </x:c>
      <x:c r="B22" s="25" t="str">
        <x:v>LE6</x:v>
      </x:c>
      <x:c r="C22" s="25" t="str">
        <x:v>The respondent remained interested in completing the programme.</x:v>
      </x:c>
      <x:c r="D22" s="66" t="n">
        <x:f>COUNT('Eligible Data'!Z$2:Z$106)</x:f>
        <x:v>103</x:v>
      </x:c>
      <x:c r="E22" s="67" t="n">
        <x:f>AVERAGE('Eligible Data'!Z$2:Z$106)</x:f>
        <x:v>4.359223300970874</x:v>
      </x:c>
      <x:c r="F22" s="67" t="n">
        <x:f>STDEV.S('Eligible Data'!Z$2:Z$106)</x:f>
        <x:v>0.9059105367685115</x:v>
      </x:c>
    </x:row>
    <x:row r="23" ht="15" hidden="0" customHeight="1">
      <x:c r="A23" s="25" t="str">
        <x:v>Training Effectiveness</x:v>
      </x:c>
      <x:c r="B23" s="25" t="str">
        <x:v>TE1</x:v>
      </x:c>
      <x:c r="C23" s="25" t="str">
        <x:v>The respondent understood the main knowledge or skills.</x:v>
      </x:c>
      <x:c r="D23" s="66" t="n">
        <x:f>COUNT('Eligible Data'!AA$2:AA$106)</x:f>
        <x:v>103</x:v>
      </x:c>
      <x:c r="E23" s="67" t="n">
        <x:f>AVERAGE('Eligible Data'!AA$2:AA$106)</x:f>
        <x:v>4.252427184466019</x:v>
      </x:c>
      <x:c r="F23" s="67" t="n">
        <x:f>STDEV.S('Eligible Data'!AA$2:AA$106)</x:f>
        <x:v>0.9044383654516324</x:v>
      </x:c>
    </x:row>
    <x:row r="24" ht="15" hidden="0" customHeight="1">
      <x:c r="A24" s="25" t="str">
        <x:v>Training Effectiveness</x:v>
      </x:c>
      <x:c r="B24" s="25" t="str">
        <x:v>TE2</x:v>
      </x:c>
      <x:c r="C24" s="25" t="str">
        <x:v>The training provided useful knowledge or skills for the current role.</x:v>
      </x:c>
      <x:c r="D24" s="66" t="n">
        <x:f>COUNT('Eligible Data'!AB$2:AB$106)</x:f>
        <x:v>103</x:v>
      </x:c>
      <x:c r="E24" s="67" t="n">
        <x:f>AVERAGE('Eligible Data'!AB$2:AB$106)</x:f>
        <x:v>4.262135922330097</x:v>
      </x:c>
      <x:c r="F24" s="67" t="n">
        <x:f>STDEV.S('Eligible Data'!AB$2:AB$106)</x:f>
        <x:v>0.9178103209626497</x:v>
      </x:c>
    </x:row>
    <x:row r="25" ht="15" hidden="0" customHeight="1">
      <x:c r="A25" s="25" t="str">
        <x:v>Training Effectiveness</x:v>
      </x:c>
      <x:c r="B25" s="25" t="str">
        <x:v>TE3</x:v>
      </x:c>
      <x:c r="C25" s="25" t="str">
        <x:v>The programme content was relevant to Bank work.</x:v>
      </x:c>
      <x:c r="D25" s="66" t="n">
        <x:f>COUNT('Eligible Data'!AC$2:AC$106)</x:f>
        <x:v>103</x:v>
      </x:c>
      <x:c r="E25" s="67" t="n">
        <x:f>AVERAGE('Eligible Data'!AC$2:AC$106)</x:f>
        <x:v>4.233009708737864</x:v>
      </x:c>
      <x:c r="F25" s="67" t="n">
        <x:f>STDEV.S('Eligible Data'!AC$2:AC$106)</x:f>
        <x:v>0.8655031801251666</x:v>
      </x:c>
    </x:row>
    <x:row r="26" ht="15" hidden="0" customHeight="1">
      <x:c r="A26" s="25" t="str">
        <x:v>Training Effectiveness</x:v>
      </x:c>
      <x:c r="B26" s="25" t="str">
        <x:v>TE4</x:v>
      </x:c>
      <x:c r="C26" s="25" t="str">
        <x:v>The respondent felt capable of using the taught knowledge or skills.</x:v>
      </x:c>
      <x:c r="D26" s="66" t="n">
        <x:f>COUNT('Eligible Data'!AD$2:AD$106)</x:f>
        <x:v>103</x:v>
      </x:c>
      <x:c r="E26" s="67" t="n">
        <x:f>AVERAGE('Eligible Data'!AD$2:AD$106)</x:f>
        <x:v>4.233009708737864</x:v>
      </x:c>
      <x:c r="F26" s="67" t="n">
        <x:f>STDEV.S('Eligible Data'!AD$2:AD$106)</x:f>
        <x:v>0.9203993538095582</x:v>
      </x:c>
    </x:row>
    <x:row r="27" ht="15" hidden="0" customHeight="1">
      <x:c r="A27" s="25" t="str">
        <x:v>Training Effectiveness</x:v>
      </x:c>
      <x:c r="B27" s="25" t="str">
        <x:v>TE5</x:v>
      </x:c>
      <x:c r="C27" s="25" t="str">
        <x:v>The respondent applied learning in day-to-day work.</x:v>
      </x:c>
      <x:c r="D27" s="66" t="n">
        <x:f>COUNT('Eligible Data'!AE$2:AE$106)</x:f>
        <x:v>103</x:v>
      </x:c>
      <x:c r="E27" s="67" t="n">
        <x:f>AVERAGE('Eligible Data'!AE$2:AE$106)</x:f>
        <x:v>4.233009708737864</x:v>
      </x:c>
      <x:c r="F27" s="67" t="n">
        <x:f>STDEV.S('Eligible Data'!AE$2:AE$106)</x:f>
        <x:v>0.9096851803540589</x:v>
      </x:c>
    </x:row>
    <x:row r="28" ht="15" hidden="0" customHeight="1">
      <x:c r="A28" s="25" t="str">
        <x:v>Training Effectiveness</x:v>
      </x:c>
      <x:c r="B28" s="25" t="str">
        <x:v>TE6</x:v>
      </x:c>
      <x:c r="C28" s="25" t="str">
        <x:v>The programme helped with relevant work tasks or problems.</x:v>
      </x:c>
      <x:c r="D28" s="66" t="n">
        <x:f>COUNT('Eligible Data'!AF$2:AF$106)</x:f>
        <x:v>103</x:v>
      </x:c>
      <x:c r="E28" s="67" t="n">
        <x:f>AVERAGE('Eligible Data'!AF$2:AF$106)</x:f>
        <x:v>4.155339805825243</x:v>
      </x:c>
      <x:c r="F28" s="67" t="n">
        <x:f>STDEV.S('Eligible Data'!AF$2:AF$106)</x:f>
        <x:v>0.9262752899714672</x:v>
      </x:c>
    </x:row>
    <x:row r="29" ht="15" hidden="0" customHeight="1">
      <x:c r="A29" s="25" t="str">
        <x:v>Training Effectiveness</x:v>
      </x:c>
      <x:c r="B29" s="25" t="str">
        <x:v>TE7</x:v>
      </x:c>
      <x:c r="C29" s="25" t="str">
        <x:v>The programme improved confidence in relevant work responsibilities.</x:v>
      </x:c>
      <x:c r="D29" s="66" t="n">
        <x:f>COUNT('Eligible Data'!AG$2:AG$106)</x:f>
        <x:v>103</x:v>
      </x:c>
      <x:c r="E29" s="67" t="n">
        <x:f>AVERAGE('Eligible Data'!AG$2:AG$106)</x:f>
        <x:v>4.29126213592233</x:v>
      </x:c>
      <x:c r="F29" s="67" t="n">
        <x:f>STDEV.S('Eligible Data'!AG$2:AG$106)</x:f>
        <x:v>0.96640701003379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>
      <x:c r="A1" s="1" t="str">
        <x:v>Item Response Frequencies</x:v>
      </x:c>
    </x:row>
    <x:row r="2">
      <x:c r="A2" s="2" t="str">
        <x:v>All five response categories contain the 103 analysed responses.</x:v>
      </x:c>
      <x:c r="B2"/>
    </x:row>
    <x:row r="3">
      <x:c r="A3" s="62" t="str">
        <x:v>Construct</x:v>
      </x:c>
      <x:c r="B3" s="62" t="str">
        <x:v>Item</x:v>
      </x:c>
      <x:c r="C3" s="62" t="str">
        <x:v>N</x:v>
      </x:c>
      <x:c r="D3" s="62" t="str">
        <x:v>Strongly Disagree</x:v>
      </x:c>
      <x:c r="E3" s="62" t="str">
        <x:v>Disagree</x:v>
      </x:c>
      <x:c r="F3" s="62" t="str">
        <x:v>Neither Agree nor Disagree</x:v>
      </x:c>
      <x:c r="G3" s="62" t="str">
        <x:v>Agree</x:v>
      </x:c>
      <x:c r="H3" s="62" t="str">
        <x:v>Strongly Agree</x:v>
      </x:c>
      <x:c r="I3" s="62"/>
      <x:c r="J3" s="62" t="str">
        <x:v>Mean</x:v>
      </x:c>
      <x:c r="K3" s="62" t="str">
        <x:v>Standard deviation</x:v>
      </x:c>
      <x:c r="L3" s="62" t="str">
        <x:v>Note</x:v>
      </x:c>
    </x:row>
    <x:row r="4">
      <x:c r="A4" s="25" t="str">
        <x:v>Hybrid Learning</x:v>
      </x:c>
      <x:c r="B4" s="25" t="str">
        <x:v>HL1</x:v>
      </x:c>
      <x:c r="C4" s="66" t="n">
        <x:f>COUNT('Eligible Data'!$H$2:$H$106)</x:f>
        <x:v>103</x:v>
      </x:c>
      <x:c r="D4" s="66" t="n">
        <x:f>COUNTIF('Eligible Data'!$H$2:$H$106,1)</x:f>
        <x:v>4</x:v>
      </x:c>
      <x:c r="E4" s="66" t="n">
        <x:f>COUNTIF('Eligible Data'!$H$2:$H$106,2)</x:f>
        <x:v>4</x:v>
      </x:c>
      <x:c r="F4" s="66" t="n">
        <x:f>COUNTIF('Eligible Data'!$H$2:$H$106,3)</x:f>
        <x:v>7</x:v>
      </x:c>
      <x:c r="G4" s="66" t="n">
        <x:f>COUNTIF('Eligible Data'!$H$2:$H$106,4)</x:f>
        <x:v>51</x:v>
      </x:c>
      <x:c r="H4" s="66" t="n">
        <x:f>COUNTIF('Eligible Data'!$H$2:$H$106,5)</x:f>
        <x:v>37</x:v>
      </x:c>
      <x:c r="I4" s="66"/>
      <x:c r="J4" s="67" t="n">
        <x:f>AVERAGE('Eligible Data'!$H$2:$H$106)</x:f>
        <x:v>4.097087378640777</x:v>
      </x:c>
      <x:c r="K4" s="67" t="n">
        <x:f>STDEV.S('Eligible Data'!$H$2:$H$106)</x:f>
        <x:v>0.9652243781283479</x:v>
      </x:c>
      <x:c r="L4" s="25"/>
    </x:row>
    <x:row r="5">
      <x:c r="A5" s="25" t="str">
        <x:v>Hybrid Learning</x:v>
      </x:c>
      <x:c r="B5" s="25" t="str">
        <x:v>HL2</x:v>
      </x:c>
      <x:c r="C5" s="66" t="n">
        <x:f>COUNT('Eligible Data'!$I$2:$I$106)</x:f>
        <x:v>103</x:v>
      </x:c>
      <x:c r="D5" s="66" t="n">
        <x:f>COUNTIF('Eligible Data'!$I$2:$I$106,1)</x:f>
        <x:v>3</x:v>
      </x:c>
      <x:c r="E5" s="66" t="n">
        <x:f>COUNTIF('Eligible Data'!$I$2:$I$106,2)</x:f>
        <x:v>5</x:v>
      </x:c>
      <x:c r="F5" s="66" t="n">
        <x:f>COUNTIF('Eligible Data'!$I$2:$I$106,3)</x:f>
        <x:v>13</x:v>
      </x:c>
      <x:c r="G5" s="66" t="n">
        <x:f>COUNTIF('Eligible Data'!$I$2:$I$106,4)</x:f>
        <x:v>52</x:v>
      </x:c>
      <x:c r="H5" s="66" t="n">
        <x:f>COUNTIF('Eligible Data'!$I$2:$I$106,5)</x:f>
        <x:v>30</x:v>
      </x:c>
      <x:c r="I5" s="66"/>
      <x:c r="J5" s="67" t="n">
        <x:f>AVERAGE('Eligible Data'!$I$2:$I$106)</x:f>
        <x:v>3.9805825242718447</x:v>
      </x:c>
      <x:c r="K5" s="67" t="n">
        <x:f>STDEV.S('Eligible Data'!$I$2:$I$106)</x:f>
        <x:v>0.9391337531780392</x:v>
      </x:c>
      <x:c r="L5" s="25"/>
    </x:row>
    <x:row r="6">
      <x:c r="A6" s="25" t="str">
        <x:v>Hybrid Learning</x:v>
      </x:c>
      <x:c r="B6" s="25" t="str">
        <x:v>HL3</x:v>
      </x:c>
      <x:c r="C6" s="66" t="n">
        <x:f>COUNT('Eligible Data'!$J$2:$J$106)</x:f>
        <x:v>103</x:v>
      </x:c>
      <x:c r="D6" s="66" t="n">
        <x:f>COUNTIF('Eligible Data'!$J$2:$J$106,1)</x:f>
        <x:v>4</x:v>
      </x:c>
      <x:c r="E6" s="66" t="n">
        <x:f>COUNTIF('Eligible Data'!$J$2:$J$106,2)</x:f>
        <x:v>2</x:v>
      </x:c>
      <x:c r="F6" s="66" t="n">
        <x:f>COUNTIF('Eligible Data'!$J$2:$J$106,3)</x:f>
        <x:v>9</x:v>
      </x:c>
      <x:c r="G6" s="66" t="n">
        <x:f>COUNTIF('Eligible Data'!$J$2:$J$106,4)</x:f>
        <x:v>46</x:v>
      </x:c>
      <x:c r="H6" s="66" t="n">
        <x:f>COUNTIF('Eligible Data'!$J$2:$J$106,5)</x:f>
        <x:v>42</x:v>
      </x:c>
      <x:c r="I6" s="66"/>
      <x:c r="J6" s="67" t="n">
        <x:f>AVERAGE('Eligible Data'!$J$2:$J$106)</x:f>
        <x:v>4.165048543689321</x:v>
      </x:c>
      <x:c r="K6" s="67" t="n">
        <x:f>STDEV.S('Eligible Data'!$J$2:$J$106)</x:f>
        <x:v>0.9507178647762545</x:v>
      </x:c>
      <x:c r="L6" s="25"/>
    </x:row>
    <x:row r="7">
      <x:c r="A7" s="25" t="str">
        <x:v>Hybrid Learning</x:v>
      </x:c>
      <x:c r="B7" s="25" t="str">
        <x:v>HL4</x:v>
      </x:c>
      <x:c r="C7" s="66" t="n">
        <x:f>COUNT('Eligible Data'!$K$2:$K$106)</x:f>
        <x:v>103</x:v>
      </x:c>
      <x:c r="D7" s="66" t="n">
        <x:f>COUNTIF('Eligible Data'!$K$2:$K$106,1)</x:f>
        <x:v>3</x:v>
      </x:c>
      <x:c r="E7" s="66" t="n">
        <x:f>COUNTIF('Eligible Data'!$K$2:$K$106,2)</x:f>
        <x:v>3</x:v>
      </x:c>
      <x:c r="F7" s="66" t="n">
        <x:f>COUNTIF('Eligible Data'!$K$2:$K$106,3)</x:f>
        <x:v>7</x:v>
      </x:c>
      <x:c r="G7" s="66" t="n">
        <x:f>COUNTIF('Eligible Data'!$K$2:$K$106,4)</x:f>
        <x:v>49</x:v>
      </x:c>
      <x:c r="H7" s="66" t="n">
        <x:f>COUNTIF('Eligible Data'!$K$2:$K$106,5)</x:f>
        <x:v>41</x:v>
      </x:c>
      <x:c r="I7" s="66"/>
      <x:c r="J7" s="67" t="n">
        <x:f>AVERAGE('Eligible Data'!$K$2:$K$106)</x:f>
        <x:v>4.184466019417476</x:v>
      </x:c>
      <x:c r="K7" s="67" t="n">
        <x:f>STDEV.S('Eligible Data'!$K$2:$K$106)</x:f>
        <x:v>0.9047540323911887</x:v>
      </x:c>
      <x:c r="L7" s="25"/>
    </x:row>
    <x:row r="8">
      <x:c r="A8" s="25" t="str">
        <x:v>Hybrid Learning</x:v>
      </x:c>
      <x:c r="B8" s="25" t="str">
        <x:v>HL5</x:v>
      </x:c>
      <x:c r="C8" s="66" t="n">
        <x:f>COUNT('Eligible Data'!$L$2:$L$106)</x:f>
        <x:v>103</x:v>
      </x:c>
      <x:c r="D8" s="66" t="n">
        <x:f>COUNTIF('Eligible Data'!$L$2:$L$106,1)</x:f>
        <x:v>5</x:v>
      </x:c>
      <x:c r="E8" s="66" t="n">
        <x:f>COUNTIF('Eligible Data'!$L$2:$L$106,2)</x:f>
        <x:v>3</x:v>
      </x:c>
      <x:c r="F8" s="66" t="n">
        <x:f>COUNTIF('Eligible Data'!$L$2:$L$106,3)</x:f>
        <x:v>8</x:v>
      </x:c>
      <x:c r="G8" s="66" t="n">
        <x:f>COUNTIF('Eligible Data'!$L$2:$L$106,4)</x:f>
        <x:v>47</x:v>
      </x:c>
      <x:c r="H8" s="66" t="n">
        <x:f>COUNTIF('Eligible Data'!$L$2:$L$106,5)</x:f>
        <x:v>40</x:v>
      </x:c>
      <x:c r="I8" s="66"/>
      <x:c r="J8" s="67" t="n">
        <x:f>AVERAGE('Eligible Data'!$L$2:$L$106)</x:f>
        <x:v>4.106796116504855</x:v>
      </x:c>
      <x:c r="K8" s="67" t="n">
        <x:f>STDEV.S('Eligible Data'!$L$2:$L$106)</x:f>
        <x:v>1.00890759559801</x:v>
      </x:c>
      <x:c r="L8" s="25"/>
    </x:row>
    <x:row r="9">
      <x:c r="A9" s="25" t="str">
        <x:v>Hybrid Learning</x:v>
      </x:c>
      <x:c r="B9" s="25" t="str">
        <x:v>HL6</x:v>
      </x:c>
      <x:c r="C9" s="66" t="n">
        <x:f>COUNT('Eligible Data'!$M$2:$M$106)</x:f>
        <x:v>103</x:v>
      </x:c>
      <x:c r="D9" s="66" t="n">
        <x:f>COUNTIF('Eligible Data'!$M$2:$M$106,1)</x:f>
        <x:v>4</x:v>
      </x:c>
      <x:c r="E9" s="66" t="n">
        <x:f>COUNTIF('Eligible Data'!$M$2:$M$106,2)</x:f>
        <x:v>2</x:v>
      </x:c>
      <x:c r="F9" s="66" t="n">
        <x:f>COUNTIF('Eligible Data'!$M$2:$M$106,3)</x:f>
        <x:v>6</x:v>
      </x:c>
      <x:c r="G9" s="66" t="n">
        <x:f>COUNTIF('Eligible Data'!$M$2:$M$106,4)</x:f>
        <x:v>46</x:v>
      </x:c>
      <x:c r="H9" s="66" t="n">
        <x:f>COUNTIF('Eligible Data'!$M$2:$M$106,5)</x:f>
        <x:v>45</x:v>
      </x:c>
      <x:c r="I9" s="66"/>
      <x:c r="J9" s="67" t="n">
        <x:f>AVERAGE('Eligible Data'!$M$2:$M$106)</x:f>
        <x:v>4.223300970873787</x:v>
      </x:c>
      <x:c r="K9" s="67" t="n">
        <x:f>STDEV.S('Eligible Data'!$M$2:$M$106)</x:f>
        <x:v>0.9386268530746252</x:v>
      </x:c>
      <x:c r="L9" s="25"/>
    </x:row>
    <x:row r="10">
      <x:c r="A10" s="25" t="str">
        <x:v>Hybrid Learning</x:v>
      </x:c>
      <x:c r="B10" s="25" t="str">
        <x:v>HL7</x:v>
      </x:c>
      <x:c r="C10" s="66" t="n">
        <x:f>COUNT('Eligible Data'!$N$2:$N$106)</x:f>
        <x:v>103</x:v>
      </x:c>
      <x:c r="D10" s="66" t="n">
        <x:f>COUNTIF('Eligible Data'!$N$2:$N$106,1)</x:f>
        <x:v>4</x:v>
      </x:c>
      <x:c r="E10" s="66" t="n">
        <x:f>COUNTIF('Eligible Data'!$N$2:$N$106,2)</x:f>
        <x:v>1</x:v>
      </x:c>
      <x:c r="F10" s="66" t="n">
        <x:f>COUNTIF('Eligible Data'!$N$2:$N$106,3)</x:f>
        <x:v>5</x:v>
      </x:c>
      <x:c r="G10" s="66" t="n">
        <x:f>COUNTIF('Eligible Data'!$N$2:$N$106,4)</x:f>
        <x:v>48</x:v>
      </x:c>
      <x:c r="H10" s="66" t="n">
        <x:f>COUNTIF('Eligible Data'!$N$2:$N$106,5)</x:f>
        <x:v>45</x:v>
      </x:c>
      <x:c r="I10" s="66"/>
      <x:c r="J10" s="67" t="n">
        <x:f>AVERAGE('Eligible Data'!$N$2:$N$106)</x:f>
        <x:v>4.252427184466019</x:v>
      </x:c>
      <x:c r="K10" s="67" t="n">
        <x:f>STDEV.S('Eligible Data'!$N$2:$N$106)</x:f>
        <x:v>0.9044383654516314</x:v>
      </x:c>
      <x:c r="L10" s="25"/>
    </x:row>
    <x:row r="11">
      <x:c r="A11" s="25" t="str">
        <x:v>Trainer Competence</x:v>
      </x:c>
      <x:c r="B11" s="25" t="str">
        <x:v>TC1</x:v>
      </x:c>
      <x:c r="C11" s="66" t="n">
        <x:f>COUNT('Eligible Data'!$O$2:$O$106)</x:f>
        <x:v>103</x:v>
      </x:c>
      <x:c r="D11" s="66" t="n">
        <x:f>COUNTIF('Eligible Data'!$O$2:$O$106,1)</x:f>
        <x:v>4</x:v>
      </x:c>
      <x:c r="E11" s="66" t="n">
        <x:f>COUNTIF('Eligible Data'!$O$2:$O$106,2)</x:f>
        <x:v>1</x:v>
      </x:c>
      <x:c r="F11" s="66" t="n">
        <x:f>COUNTIF('Eligible Data'!$O$2:$O$106,3)</x:f>
        <x:v>6</x:v>
      </x:c>
      <x:c r="G11" s="66" t="n">
        <x:f>COUNTIF('Eligible Data'!$O$2:$O$106,4)</x:f>
        <x:v>51</x:v>
      </x:c>
      <x:c r="H11" s="66" t="n">
        <x:f>COUNTIF('Eligible Data'!$O$2:$O$106,5)</x:f>
        <x:v>41</x:v>
      </x:c>
      <x:c r="I11" s="66"/>
      <x:c r="J11" s="67" t="n">
        <x:f>AVERAGE('Eligible Data'!$O$2:$O$106)</x:f>
        <x:v>4.203883495145631</x:v>
      </x:c>
      <x:c r="K11" s="67" t="n">
        <x:f>STDEV.S('Eligible Data'!$O$2:$O$106)</x:f>
        <x:v>0.9005360419017848</x:v>
      </x:c>
      <x:c r="L11" s="25"/>
    </x:row>
    <x:row r="12">
      <x:c r="A12" s="25" t="str">
        <x:v>Trainer Competence</x:v>
      </x:c>
      <x:c r="B12" s="25" t="str">
        <x:v>TC2</x:v>
      </x:c>
      <x:c r="C12" s="66" t="n">
        <x:f>COUNT('Eligible Data'!$P$2:$P$106)</x:f>
        <x:v>103</x:v>
      </x:c>
      <x:c r="D12" s="66" t="n">
        <x:f>COUNTIF('Eligible Data'!$P$2:$P$106,1)</x:f>
        <x:v>5</x:v>
      </x:c>
      <x:c r="E12" s="66" t="n">
        <x:f>COUNTIF('Eligible Data'!$P$2:$P$106,2)</x:f>
        <x:v>0</x:v>
      </x:c>
      <x:c r="F12" s="66" t="n">
        <x:f>COUNTIF('Eligible Data'!$P$2:$P$106,3)</x:f>
        <x:v>5</x:v>
      </x:c>
      <x:c r="G12" s="66" t="n">
        <x:f>COUNTIF('Eligible Data'!$P$2:$P$106,4)</x:f>
        <x:v>50</x:v>
      </x:c>
      <x:c r="H12" s="66" t="n">
        <x:f>COUNTIF('Eligible Data'!$P$2:$P$106,5)</x:f>
        <x:v>43</x:v>
      </x:c>
      <x:c r="I12" s="66"/>
      <x:c r="J12" s="67" t="n">
        <x:f>AVERAGE('Eligible Data'!$P$2:$P$106)</x:f>
        <x:v>4.223300970873787</x:v>
      </x:c>
      <x:c r="K12" s="67" t="n">
        <x:f>STDEV.S('Eligible Data'!$P$2:$P$106)</x:f>
        <x:v>0.9281231201599918</x:v>
      </x:c>
      <x:c r="L12" s="25"/>
    </x:row>
    <x:row r="13">
      <x:c r="A13" s="25" t="str">
        <x:v>Trainer Competence</x:v>
      </x:c>
      <x:c r="B13" s="25" t="str">
        <x:v>TC3</x:v>
      </x:c>
      <x:c r="C13" s="66" t="n">
        <x:f>COUNT('Eligible Data'!$Q$2:$Q$106)</x:f>
        <x:v>103</x:v>
      </x:c>
      <x:c r="D13" s="66" t="n">
        <x:f>COUNTIF('Eligible Data'!$Q$2:$Q$106,1)</x:f>
        <x:v>4</x:v>
      </x:c>
      <x:c r="E13" s="66" t="n">
        <x:f>COUNTIF('Eligible Data'!$Q$2:$Q$106,2)</x:f>
        <x:v>1</x:v>
      </x:c>
      <x:c r="F13" s="66" t="n">
        <x:f>COUNTIF('Eligible Data'!$Q$2:$Q$106,3)</x:f>
        <x:v>10</x:v>
      </x:c>
      <x:c r="G13" s="66" t="n">
        <x:f>COUNTIF('Eligible Data'!$Q$2:$Q$106,4)</x:f>
        <x:v>54</x:v>
      </x:c>
      <x:c r="H13" s="66" t="n">
        <x:f>COUNTIF('Eligible Data'!$Q$2:$Q$106,5)</x:f>
        <x:v>34</x:v>
      </x:c>
      <x:c r="I13" s="66"/>
      <x:c r="J13" s="67" t="n">
        <x:f>AVERAGE('Eligible Data'!$Q$2:$Q$106)</x:f>
        <x:v>4.097087378640777</x:v>
      </x:c>
      <x:c r="K13" s="67" t="n">
        <x:f>STDEV.S('Eligible Data'!$Q$2:$Q$106)</x:f>
        <x:v>0.9022256044414432</x:v>
      </x:c>
      <x:c r="L13" s="25"/>
    </x:row>
    <x:row r="14">
      <x:c r="A14" s="25" t="str">
        <x:v>Trainer Competence</x:v>
      </x:c>
      <x:c r="B14" s="25" t="str">
        <x:v>TC4</x:v>
      </x:c>
      <x:c r="C14" s="66" t="n">
        <x:f>COUNT('Eligible Data'!$R$2:$R$106)</x:f>
        <x:v>103</x:v>
      </x:c>
      <x:c r="D14" s="66" t="n">
        <x:f>COUNTIF('Eligible Data'!$R$2:$R$106,1)</x:f>
        <x:v>4</x:v>
      </x:c>
      <x:c r="E14" s="66" t="n">
        <x:f>COUNTIF('Eligible Data'!$R$2:$R$106,2)</x:f>
        <x:v>2</x:v>
      </x:c>
      <x:c r="F14" s="66" t="n">
        <x:f>COUNTIF('Eligible Data'!$R$2:$R$106,3)</x:f>
        <x:v>7</x:v>
      </x:c>
      <x:c r="G14" s="66" t="n">
        <x:f>COUNTIF('Eligible Data'!$R$2:$R$106,4)</x:f>
        <x:v>52</x:v>
      </x:c>
      <x:c r="H14" s="66" t="n">
        <x:f>COUNTIF('Eligible Data'!$R$2:$R$106,5)</x:f>
        <x:v>38</x:v>
      </x:c>
      <x:c r="I14" s="66"/>
      <x:c r="J14" s="67" t="n">
        <x:f>AVERAGE('Eligible Data'!$R$2:$R$106)</x:f>
        <x:v>4.145631067961165</x:v>
      </x:c>
      <x:c r="K14" s="67" t="n">
        <x:f>STDEV.S('Eligible Data'!$R$2:$R$106)</x:f>
        <x:v>0.9225685264977033</x:v>
      </x:c>
      <x:c r="L14" s="25"/>
    </x:row>
    <x:row r="15">
      <x:c r="A15" s="25" t="str">
        <x:v>Trainer Competence</x:v>
      </x:c>
      <x:c r="B15" s="25" t="str">
        <x:v>TC5</x:v>
      </x:c>
      <x:c r="C15" s="66" t="n">
        <x:f>COUNT('Eligible Data'!$S$2:$S$106)</x:f>
        <x:v>103</x:v>
      </x:c>
      <x:c r="D15" s="66" t="n">
        <x:f>COUNTIF('Eligible Data'!$S$2:$S$106,1)</x:f>
        <x:v>4</x:v>
      </x:c>
      <x:c r="E15" s="66" t="n">
        <x:f>COUNTIF('Eligible Data'!$S$2:$S$106,2)</x:f>
        <x:v>1</x:v>
      </x:c>
      <x:c r="F15" s="66" t="n">
        <x:f>COUNTIF('Eligible Data'!$S$2:$S$106,3)</x:f>
        <x:v>6</x:v>
      </x:c>
      <x:c r="G15" s="66" t="n">
        <x:f>COUNTIF('Eligible Data'!$S$2:$S$106,4)</x:f>
        <x:v>50</x:v>
      </x:c>
      <x:c r="H15" s="66" t="n">
        <x:f>COUNTIF('Eligible Data'!$S$2:$S$106,5)</x:f>
        <x:v>42</x:v>
      </x:c>
      <x:c r="I15" s="66"/>
      <x:c r="J15" s="67" t="n">
        <x:f>AVERAGE('Eligible Data'!$S$2:$S$106)</x:f>
        <x:v>4.213592233009709</x:v>
      </x:c>
      <x:c r="K15" s="67" t="n">
        <x:f>STDEV.S('Eligible Data'!$S$2:$S$106)</x:f>
        <x:v>0.9037013804554708</x:v>
      </x:c>
      <x:c r="L15" s="25"/>
    </x:row>
    <x:row r="16">
      <x:c r="A16" s="25" t="str">
        <x:v>Trainer Competence</x:v>
      </x:c>
      <x:c r="B16" s="25" t="str">
        <x:v>TC6</x:v>
      </x:c>
      <x:c r="C16" s="66" t="n">
        <x:f>COUNT('Eligible Data'!$T$2:$T$106)</x:f>
        <x:v>103</x:v>
      </x:c>
      <x:c r="D16" s="66" t="n">
        <x:f>COUNTIF('Eligible Data'!$T$2:$T$106,1)</x:f>
        <x:v>5</x:v>
      </x:c>
      <x:c r="E16" s="66" t="n">
        <x:f>COUNTIF('Eligible Data'!$T$2:$T$106,2)</x:f>
        <x:v>3</x:v>
      </x:c>
      <x:c r="F16" s="66" t="n">
        <x:f>COUNTIF('Eligible Data'!$T$2:$T$106,3)</x:f>
        <x:v>6</x:v>
      </x:c>
      <x:c r="G16" s="66" t="n">
        <x:f>COUNTIF('Eligible Data'!$T$2:$T$106,4)</x:f>
        <x:v>53</x:v>
      </x:c>
      <x:c r="H16" s="66" t="n">
        <x:f>COUNTIF('Eligible Data'!$T$2:$T$106,5)</x:f>
        <x:v>36</x:v>
      </x:c>
      <x:c r="I16" s="66"/>
      <x:c r="J16" s="67" t="n">
        <x:f>AVERAGE('Eligible Data'!$T$2:$T$106)</x:f>
        <x:v>4.087378640776699</x:v>
      </x:c>
      <x:c r="K16" s="67" t="n">
        <x:f>STDEV.S('Eligible Data'!$T$2:$T$106)</x:f>
        <x:v>0.9812636522492736</x:v>
      </x:c>
      <x:c r="L16" s="25"/>
    </x:row>
    <x:row r="17">
      <x:c r="A17" s="25" t="str">
        <x:v>Learner Engagement</x:v>
      </x:c>
      <x:c r="B17" s="25" t="str">
        <x:v>LE1</x:v>
      </x:c>
      <x:c r="C17" s="66" t="n">
        <x:f>COUNT('Eligible Data'!$U$2:$U$106)</x:f>
        <x:v>103</x:v>
      </x:c>
      <x:c r="D17" s="66" t="n">
        <x:f>COUNTIF('Eligible Data'!$U$2:$U$106,1)</x:f>
        <x:v>3</x:v>
      </x:c>
      <x:c r="E17" s="66" t="n">
        <x:f>COUNTIF('Eligible Data'!$U$2:$U$106,2)</x:f>
        <x:v>4</x:v>
      </x:c>
      <x:c r="F17" s="66" t="n">
        <x:f>COUNTIF('Eligible Data'!$U$2:$U$106,3)</x:f>
        <x:v>5</x:v>
      </x:c>
      <x:c r="G17" s="66" t="n">
        <x:f>COUNTIF('Eligible Data'!$U$2:$U$106,4)</x:f>
        <x:v>41</x:v>
      </x:c>
      <x:c r="H17" s="66" t="n">
        <x:f>COUNTIF('Eligible Data'!$U$2:$U$106,5)</x:f>
        <x:v>50</x:v>
      </x:c>
      <x:c r="I17" s="66"/>
      <x:c r="J17" s="67" t="n">
        <x:f>AVERAGE('Eligible Data'!$U$2:$U$106)</x:f>
        <x:v>4.271844660194175</x:v>
      </x:c>
      <x:c r="K17" s="67" t="n">
        <x:f>STDEV.S('Eligible Data'!$U$2:$U$106)</x:f>
        <x:v>0.9413608709514449</x:v>
      </x:c>
      <x:c r="L17" s="25"/>
    </x:row>
    <x:row r="18">
      <x:c r="A18" s="25" t="str">
        <x:v>Learner Engagement</x:v>
      </x:c>
      <x:c r="B18" s="25" t="str">
        <x:v>LE2</x:v>
      </x:c>
      <x:c r="C18" s="66" t="n">
        <x:f>COUNT('Eligible Data'!$V$2:$V$106)</x:f>
        <x:v>103</x:v>
      </x:c>
      <x:c r="D18" s="66" t="n">
        <x:f>COUNTIF('Eligible Data'!$V$2:$V$106,1)</x:f>
        <x:v>3</x:v>
      </x:c>
      <x:c r="E18" s="66" t="n">
        <x:f>COUNTIF('Eligible Data'!$V$2:$V$106,2)</x:f>
        <x:v>3</x:v>
      </x:c>
      <x:c r="F18" s="66" t="n">
        <x:f>COUNTIF('Eligible Data'!$V$2:$V$106,3)</x:f>
        <x:v>5</x:v>
      </x:c>
      <x:c r="G18" s="66" t="n">
        <x:f>COUNTIF('Eligible Data'!$V$2:$V$106,4)</x:f>
        <x:v>42</x:v>
      </x:c>
      <x:c r="H18" s="66" t="n">
        <x:f>COUNTIF('Eligible Data'!$V$2:$V$106,5)</x:f>
        <x:v>50</x:v>
      </x:c>
      <x:c r="I18" s="66"/>
      <x:c r="J18" s="67" t="n">
        <x:f>AVERAGE('Eligible Data'!$V$2:$V$106)</x:f>
        <x:v>4.29126213592233</x:v>
      </x:c>
      <x:c r="K18" s="67" t="n">
        <x:f>STDEV.S('Eligible Data'!$V$2:$V$106)</x:f>
        <x:v>0.9142774706598514</x:v>
      </x:c>
      <x:c r="L18" s="25"/>
    </x:row>
    <x:row r="19">
      <x:c r="A19" s="25" t="str">
        <x:v>Learner Engagement</x:v>
      </x:c>
      <x:c r="B19" s="25" t="str">
        <x:v>LE3</x:v>
      </x:c>
      <x:c r="C19" s="66" t="n">
        <x:f>COUNT('Eligible Data'!$W$2:$W$106)</x:f>
        <x:v>103</x:v>
      </x:c>
      <x:c r="D19" s="66" t="n">
        <x:f>COUNTIF('Eligible Data'!$W$2:$W$106,1)</x:f>
        <x:v>3</x:v>
      </x:c>
      <x:c r="E19" s="66" t="n">
        <x:f>COUNTIF('Eligible Data'!$W$2:$W$106,2)</x:f>
        <x:v>1</x:v>
      </x:c>
      <x:c r="F19" s="66" t="n">
        <x:f>COUNTIF('Eligible Data'!$W$2:$W$106,3)</x:f>
        <x:v>6</x:v>
      </x:c>
      <x:c r="G19" s="66" t="n">
        <x:f>COUNTIF('Eligible Data'!$W$2:$W$106,4)</x:f>
        <x:v>47</x:v>
      </x:c>
      <x:c r="H19" s="66" t="n">
        <x:f>COUNTIF('Eligible Data'!$W$2:$W$106,5)</x:f>
        <x:v>46</x:v>
      </x:c>
      <x:c r="I19" s="66"/>
      <x:c r="J19" s="67" t="n">
        <x:f>AVERAGE('Eligible Data'!$W$2:$W$106)</x:f>
        <x:v>4.281553398058253</x:v>
      </x:c>
      <x:c r="K19" s="67" t="n">
        <x:f>STDEV.S('Eligible Data'!$W$2:$W$106)</x:f>
        <x:v>0.8565488863279861</x:v>
      </x:c>
      <x:c r="L19" s="25"/>
    </x:row>
    <x:row r="20">
      <x:c r="A20" s="25" t="str">
        <x:v>Learner Engagement</x:v>
      </x:c>
      <x:c r="B20" s="25" t="str">
        <x:v>LE4</x:v>
      </x:c>
      <x:c r="C20" s="66" t="n">
        <x:f>COUNT('Eligible Data'!$X$2:$X$106)</x:f>
        <x:v>103</x:v>
      </x:c>
      <x:c r="D20" s="66" t="n">
        <x:f>COUNTIF('Eligible Data'!$X$2:$X$106,1)</x:f>
        <x:v>2</x:v>
      </x:c>
      <x:c r="E20" s="66" t="n">
        <x:f>COUNTIF('Eligible Data'!$X$2:$X$106,2)</x:f>
        <x:v>0</x:v>
      </x:c>
      <x:c r="F20" s="66" t="n">
        <x:f>COUNTIF('Eligible Data'!$X$2:$X$106,3)</x:f>
        <x:v>8</x:v>
      </x:c>
      <x:c r="G20" s="66" t="n">
        <x:f>COUNTIF('Eligible Data'!$X$2:$X$106,4)</x:f>
        <x:v>42</x:v>
      </x:c>
      <x:c r="H20" s="66" t="n">
        <x:f>COUNTIF('Eligible Data'!$X$2:$X$106,5)</x:f>
        <x:v>51</x:v>
      </x:c>
      <x:c r="I20" s="66"/>
      <x:c r="J20" s="67" t="n">
        <x:f>AVERAGE('Eligible Data'!$X$2:$X$106)</x:f>
        <x:v>4.359223300970874</x:v>
      </x:c>
      <x:c r="K20" s="67" t="n">
        <x:f>STDEV.S('Eligible Data'!$X$2:$X$106)</x:f>
        <x:v>0.7903135259222531</x:v>
      </x:c>
      <x:c r="L20" s="25"/>
    </x:row>
    <x:row r="21">
      <x:c r="A21" s="25" t="str">
        <x:v>Learner Engagement</x:v>
      </x:c>
      <x:c r="B21" s="25" t="str">
        <x:v>LE5</x:v>
      </x:c>
      <x:c r="C21" s="66" t="n">
        <x:f>COUNT('Eligible Data'!$Y$2:$Y$106)</x:f>
        <x:v>103</x:v>
      </x:c>
      <x:c r="D21" s="66" t="n">
        <x:f>COUNTIF('Eligible Data'!$Y$2:$Y$106,1)</x:f>
        <x:v>3</x:v>
      </x:c>
      <x:c r="E21" s="66" t="n">
        <x:f>COUNTIF('Eligible Data'!$Y$2:$Y$106,2)</x:f>
        <x:v>0</x:v>
      </x:c>
      <x:c r="F21" s="66" t="n">
        <x:f>COUNTIF('Eligible Data'!$Y$2:$Y$106,3)</x:f>
        <x:v>12</x:v>
      </x:c>
      <x:c r="G21" s="66" t="n">
        <x:f>COUNTIF('Eligible Data'!$Y$2:$Y$106,4)</x:f>
        <x:v>41</x:v>
      </x:c>
      <x:c r="H21" s="66" t="n">
        <x:f>COUNTIF('Eligible Data'!$Y$2:$Y$106,5)</x:f>
        <x:v>47</x:v>
      </x:c>
      <x:c r="I21" s="66"/>
      <x:c r="J21" s="67" t="n">
        <x:f>AVERAGE('Eligible Data'!$Y$2:$Y$106)</x:f>
        <x:v>4.252427184466019</x:v>
      </x:c>
      <x:c r="K21" s="67" t="n">
        <x:f>STDEV.S('Eligible Data'!$Y$2:$Y$106)</x:f>
        <x:v>0.8824925329011623</x:v>
      </x:c>
      <x:c r="L21" s="25"/>
    </x:row>
    <x:row r="22">
      <x:c r="A22" s="25" t="str">
        <x:v>Learner Engagement</x:v>
      </x:c>
      <x:c r="B22" s="25" t="str">
        <x:v>LE6</x:v>
      </x:c>
      <x:c r="C22" s="66" t="n">
        <x:f>COUNT('Eligible Data'!$Z$2:$Z$106)</x:f>
        <x:v>103</x:v>
      </x:c>
      <x:c r="D22" s="66" t="n">
        <x:f>COUNTIF('Eligible Data'!$Z$2:$Z$106,1)</x:f>
        <x:v>4</x:v>
      </x:c>
      <x:c r="E22" s="66" t="n">
        <x:f>COUNTIF('Eligible Data'!$Z$2:$Z$106,2)</x:f>
        <x:v>0</x:v>
      </x:c>
      <x:c r="F22" s="66" t="n">
        <x:f>COUNTIF('Eligible Data'!$Z$2:$Z$106,3)</x:f>
        <x:v>6</x:v>
      </x:c>
      <x:c r="G22" s="66" t="n">
        <x:f>COUNTIF('Eligible Data'!$Z$2:$Z$106,4)</x:f>
        <x:v>38</x:v>
      </x:c>
      <x:c r="H22" s="66" t="n">
        <x:f>COUNTIF('Eligible Data'!$Z$2:$Z$106,5)</x:f>
        <x:v>55</x:v>
      </x:c>
      <x:c r="I22" s="66"/>
      <x:c r="J22" s="67" t="n">
        <x:f>AVERAGE('Eligible Data'!$Z$2:$Z$106)</x:f>
        <x:v>4.359223300970874</x:v>
      </x:c>
      <x:c r="K22" s="67" t="n">
        <x:f>STDEV.S('Eligible Data'!$Z$2:$Z$106)</x:f>
        <x:v>0.9059105367685115</x:v>
      </x:c>
      <x:c r="L22" s="25"/>
    </x:row>
    <x:row r="23">
      <x:c r="A23" s="25" t="str">
        <x:v>Training Effectiveness</x:v>
      </x:c>
      <x:c r="B23" s="25" t="str">
        <x:v>TE1</x:v>
      </x:c>
      <x:c r="C23" s="66" t="n">
        <x:f>COUNT('Eligible Data'!$AA$2:$AA$106)</x:f>
        <x:v>103</x:v>
      </x:c>
      <x:c r="D23" s="66" t="n">
        <x:f>COUNTIF('Eligible Data'!$AA$2:$AA$106,1)</x:f>
        <x:v>4</x:v>
      </x:c>
      <x:c r="E23" s="66" t="n">
        <x:f>COUNTIF('Eligible Data'!$AA$2:$AA$106,2)</x:f>
        <x:v>1</x:v>
      </x:c>
      <x:c r="F23" s="66" t="n">
        <x:f>COUNTIF('Eligible Data'!$AA$2:$AA$106,3)</x:f>
        <x:v>5</x:v>
      </x:c>
      <x:c r="G23" s="66" t="n">
        <x:f>COUNTIF('Eligible Data'!$AA$2:$AA$106,4)</x:f>
        <x:v>48</x:v>
      </x:c>
      <x:c r="H23" s="66" t="n">
        <x:f>COUNTIF('Eligible Data'!$AA$2:$AA$106,5)</x:f>
        <x:v>45</x:v>
      </x:c>
      <x:c r="I23" s="66"/>
      <x:c r="J23" s="67" t="n">
        <x:f>AVERAGE('Eligible Data'!$AA$2:$AA$106)</x:f>
        <x:v>4.252427184466019</x:v>
      </x:c>
      <x:c r="K23" s="67" t="n">
        <x:f>STDEV.S('Eligible Data'!$AA$2:$AA$106)</x:f>
        <x:v>0.9044383654516324</x:v>
      </x:c>
      <x:c r="L23" s="25"/>
    </x:row>
    <x:row r="24">
      <x:c r="A24" s="25" t="str">
        <x:v>Training Effectiveness</x:v>
      </x:c>
      <x:c r="B24" s="25" t="str">
        <x:v>TE2</x:v>
      </x:c>
      <x:c r="C24" s="66" t="n">
        <x:f>COUNT('Eligible Data'!$AB$2:$AB$106)</x:f>
        <x:v>103</x:v>
      </x:c>
      <x:c r="D24" s="66" t="n">
        <x:f>COUNTIF('Eligible Data'!$AB$2:$AB$106,1)</x:f>
        <x:v>3</x:v>
      </x:c>
      <x:c r="E24" s="66" t="n">
        <x:f>COUNTIF('Eligible Data'!$AB$2:$AB$106,2)</x:f>
        <x:v>2</x:v>
      </x:c>
      <x:c r="F24" s="66" t="n">
        <x:f>COUNTIF('Eligible Data'!$AB$2:$AB$106,3)</x:f>
        <x:v>9</x:v>
      </x:c>
      <x:c r="G24" s="66" t="n">
        <x:f>COUNTIF('Eligible Data'!$AB$2:$AB$106,4)</x:f>
        <x:v>40</x:v>
      </x:c>
      <x:c r="H24" s="66" t="n">
        <x:f>COUNTIF('Eligible Data'!$AB$2:$AB$106,5)</x:f>
        <x:v>49</x:v>
      </x:c>
      <x:c r="I24" s="66"/>
      <x:c r="J24" s="67" t="n">
        <x:f>AVERAGE('Eligible Data'!$AB$2:$AB$106)</x:f>
        <x:v>4.262135922330097</x:v>
      </x:c>
      <x:c r="K24" s="67" t="n">
        <x:f>STDEV.S('Eligible Data'!$AB$2:$AB$106)</x:f>
        <x:v>0.9178103209626497</x:v>
      </x:c>
      <x:c r="L24" s="25"/>
    </x:row>
    <x:row r="25">
      <x:c r="A25" s="25" t="str">
        <x:v>Training Effectiveness</x:v>
      </x:c>
      <x:c r="B25" s="25" t="str">
        <x:v>TE3</x:v>
      </x:c>
      <x:c r="C25" s="66" t="n">
        <x:f>COUNT('Eligible Data'!$AC$2:$AC$106)</x:f>
        <x:v>103</x:v>
      </x:c>
      <x:c r="D25" s="66" t="n">
        <x:f>COUNTIF('Eligible Data'!$AC$2:$AC$106,1)</x:f>
        <x:v>3</x:v>
      </x:c>
      <x:c r="E25" s="66" t="n">
        <x:f>COUNTIF('Eligible Data'!$AC$2:$AC$106,2)</x:f>
        <x:v>0</x:v>
      </x:c>
      <x:c r="F25" s="66" t="n">
        <x:f>COUNTIF('Eligible Data'!$AC$2:$AC$106,3)</x:f>
        <x:v>11</x:v>
      </x:c>
      <x:c r="G25" s="66" t="n">
        <x:f>COUNTIF('Eligible Data'!$AC$2:$AC$106,4)</x:f>
        <x:v>45</x:v>
      </x:c>
      <x:c r="H25" s="66" t="n">
        <x:f>COUNTIF('Eligible Data'!$AC$2:$AC$106,5)</x:f>
        <x:v>44</x:v>
      </x:c>
      <x:c r="I25" s="66"/>
      <x:c r="J25" s="67" t="n">
        <x:f>AVERAGE('Eligible Data'!$AC$2:$AC$106)</x:f>
        <x:v>4.233009708737864</x:v>
      </x:c>
      <x:c r="K25" s="67" t="n">
        <x:f>STDEV.S('Eligible Data'!$AC$2:$AC$106)</x:f>
        <x:v>0.8655031801251666</x:v>
      </x:c>
      <x:c r="L25" s="25"/>
    </x:row>
    <x:row r="26">
      <x:c r="A26" s="25" t="str">
        <x:v>Training Effectiveness</x:v>
      </x:c>
      <x:c r="B26" s="25" t="str">
        <x:v>TE4</x:v>
      </x:c>
      <x:c r="C26" s="66" t="n">
        <x:f>COUNT('Eligible Data'!$AD$2:$AD$106)</x:f>
        <x:v>103</x:v>
      </x:c>
      <x:c r="D26" s="66" t="n">
        <x:f>COUNTIF('Eligible Data'!$AD$2:$AD$106,1)</x:f>
        <x:v>4</x:v>
      </x:c>
      <x:c r="E26" s="66" t="n">
        <x:f>COUNTIF('Eligible Data'!$AD$2:$AD$106,2)</x:f>
        <x:v>0</x:v>
      </x:c>
      <x:c r="F26" s="66" t="n">
        <x:f>COUNTIF('Eligible Data'!$AD$2:$AD$106,3)</x:f>
        <x:v>10</x:v>
      </x:c>
      <x:c r="G26" s="66" t="n">
        <x:f>COUNTIF('Eligible Data'!$AD$2:$AD$106,4)</x:f>
        <x:v>43</x:v>
      </x:c>
      <x:c r="H26" s="66" t="n">
        <x:f>COUNTIF('Eligible Data'!$AD$2:$AD$106,5)</x:f>
        <x:v>46</x:v>
      </x:c>
      <x:c r="I26" s="66"/>
      <x:c r="J26" s="67" t="n">
        <x:f>AVERAGE('Eligible Data'!$AD$2:$AD$106)</x:f>
        <x:v>4.233009708737864</x:v>
      </x:c>
      <x:c r="K26" s="67" t="n">
        <x:f>STDEV.S('Eligible Data'!$AD$2:$AD$106)</x:f>
        <x:v>0.9203993538095582</x:v>
      </x:c>
      <x:c r="L26" s="25"/>
    </x:row>
    <x:row r="27">
      <x:c r="A27" s="25" t="str">
        <x:v>Training Effectiveness</x:v>
      </x:c>
      <x:c r="B27" s="25" t="str">
        <x:v>TE5</x:v>
      </x:c>
      <x:c r="C27" s="66" t="n">
        <x:f>COUNT('Eligible Data'!$AE$2:$AE$106)</x:f>
        <x:v>103</x:v>
      </x:c>
      <x:c r="D27" s="66" t="n">
        <x:f>COUNTIF('Eligible Data'!$AE$2:$AE$106,1)</x:f>
        <x:v>3</x:v>
      </x:c>
      <x:c r="E27" s="66" t="n">
        <x:f>COUNTIF('Eligible Data'!$AE$2:$AE$106,2)</x:f>
        <x:v>2</x:v>
      </x:c>
      <x:c r="F27" s="66" t="n">
        <x:f>COUNTIF('Eligible Data'!$AE$2:$AE$106,3)</x:f>
        <x:v>9</x:v>
      </x:c>
      <x:c r="G27" s="66" t="n">
        <x:f>COUNTIF('Eligible Data'!$AE$2:$AE$106,4)</x:f>
        <x:v>43</x:v>
      </x:c>
      <x:c r="H27" s="66" t="n">
        <x:f>COUNTIF('Eligible Data'!$AE$2:$AE$106,5)</x:f>
        <x:v>46</x:v>
      </x:c>
      <x:c r="I27" s="66"/>
      <x:c r="J27" s="67" t="n">
        <x:f>AVERAGE('Eligible Data'!$AE$2:$AE$106)</x:f>
        <x:v>4.233009708737864</x:v>
      </x:c>
      <x:c r="K27" s="67" t="n">
        <x:f>STDEV.S('Eligible Data'!$AE$2:$AE$106)</x:f>
        <x:v>0.9096851803540589</x:v>
      </x:c>
      <x:c r="L27" s="25"/>
    </x:row>
    <x:row r="28">
      <x:c r="A28" s="25" t="str">
        <x:v>Training Effectiveness</x:v>
      </x:c>
      <x:c r="B28" s="25" t="str">
        <x:v>TE6</x:v>
      </x:c>
      <x:c r="C28" s="66" t="n">
        <x:f>COUNT('Eligible Data'!$AF$2:$AF$106)</x:f>
        <x:v>103</x:v>
      </x:c>
      <x:c r="D28" s="66" t="n">
        <x:f>COUNTIF('Eligible Data'!$AF$2:$AF$106,1)</x:f>
        <x:v>4</x:v>
      </x:c>
      <x:c r="E28" s="66" t="n">
        <x:f>COUNTIF('Eligible Data'!$AF$2:$AF$106,2)</x:f>
        <x:v>1</x:v>
      </x:c>
      <x:c r="F28" s="66" t="n">
        <x:f>COUNTIF('Eligible Data'!$AF$2:$AF$106,3)</x:f>
        <x:v>10</x:v>
      </x:c>
      <x:c r="G28" s="66" t="n">
        <x:f>COUNTIF('Eligible Data'!$AF$2:$AF$106,4)</x:f>
        <x:v>48</x:v>
      </x:c>
      <x:c r="H28" s="66" t="n">
        <x:f>COUNTIF('Eligible Data'!$AF$2:$AF$106,5)</x:f>
        <x:v>40</x:v>
      </x:c>
      <x:c r="I28" s="66"/>
      <x:c r="J28" s="67" t="n">
        <x:f>AVERAGE('Eligible Data'!$AF$2:$AF$106)</x:f>
        <x:v>4.155339805825243</x:v>
      </x:c>
      <x:c r="K28" s="67" t="n">
        <x:f>STDEV.S('Eligible Data'!$AF$2:$AF$106)</x:f>
        <x:v>0.9262752899714672</x:v>
      </x:c>
      <x:c r="L28" s="25"/>
    </x:row>
    <x:row r="29">
      <x:c r="A29" s="25" t="str">
        <x:v>Training Effectiveness</x:v>
      </x:c>
      <x:c r="B29" s="25" t="str">
        <x:v>TE7</x:v>
      </x:c>
      <x:c r="C29" s="66" t="n">
        <x:f>COUNT('Eligible Data'!$AG$2:$AG$106)</x:f>
        <x:v>103</x:v>
      </x:c>
      <x:c r="D29" s="66" t="n">
        <x:f>COUNTIF('Eligible Data'!$AG$2:$AG$106,1)</x:f>
        <x:v>3</x:v>
      </x:c>
      <x:c r="E29" s="66" t="n">
        <x:f>COUNTIF('Eligible Data'!$AG$2:$AG$106,2)</x:f>
        <x:v>3</x:v>
      </x:c>
      <x:c r="F29" s="66" t="n">
        <x:f>COUNTIF('Eligible Data'!$AG$2:$AG$106,3)</x:f>
        <x:v>10</x:v>
      </x:c>
      <x:c r="G29" s="66" t="n">
        <x:f>COUNTIF('Eligible Data'!$AG$2:$AG$106,4)</x:f>
        <x:v>32</x:v>
      </x:c>
      <x:c r="H29" s="66" t="n">
        <x:f>COUNTIF('Eligible Data'!$AG$2:$AG$106,5)</x:f>
        <x:v>55</x:v>
      </x:c>
      <x:c r="I29" s="66"/>
      <x:c r="J29" s="67" t="n">
        <x:f>AVERAGE('Eligible Data'!$AG$2:$AG$106)</x:f>
        <x:v>4.29126213592233</x:v>
      </x:c>
      <x:c r="K29" s="67" t="n">
        <x:f>STDEV.S('Eligible Data'!$AG$2:$AG$106)</x:f>
        <x:v>0.96640701003379</x:v>
      </x:c>
      <x:c r="L29" s="25"/>
    </x:row>
  </x:sheetData>
  <x:pageMargins left="0.7" right="0.7" top="0.75" bottom="0.75" header="0.3" footer="0.3"/>
</x:worksheet>
</file>